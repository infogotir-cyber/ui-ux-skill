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co Guanuchi" sheetId="1" state="visible" r:id="rId3"/>
    <sheet name="Julio Cesar Navia" sheetId="2" state="visible" r:id="rId4"/>
    <sheet name="David Luzuriaga" sheetId="3" state="visible" r:id="rId5"/>
    <sheet name="Mariano Barcelona" sheetId="4" state="hidden" r:id="rId6"/>
  </sheets>
  <definedNames>
    <definedName function="false" hidden="false" localSheetId="2" name="_xlnm.Print_Area" vbProcedure="false">'David Luzuriaga'!$A$1:$K$155</definedName>
    <definedName function="false" hidden="true" localSheetId="2" name="_xlnm._FilterDatabase" vbProcedure="false">'David Luzuriaga'!$A$5:$G$120</definedName>
    <definedName function="false" hidden="false" localSheetId="1" name="_xlnm.Print_Area" vbProcedure="false">'Julio Cesar Navia'!$A$1:$L$22</definedName>
    <definedName function="false" hidden="true" localSheetId="1" name="_xlnm._FilterDatabase" vbProcedure="false">'Julio Cesar Navia'!$B$5:$H$22</definedName>
    <definedName function="false" hidden="false" localSheetId="0" name="_xlnm.Print_Area" vbProcedure="false">'Marco Guanuchi'!$A$1:$K$40</definedName>
    <definedName function="false" hidden="true" localSheetId="0" name="_xlnm._FilterDatabase" vbProcedure="false">'Marco Guanuchi'!$A$5:$G$27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<sst xmlns="http://schemas.openxmlformats.org/spreadsheetml/2006/main" count="1308" uniqueCount="342">
  <si>
    <t xml:space="preserve">Ruge — Tareas asignadas a Marco Guanuchi</t>
  </si>
  <si>
    <t xml:space="preserve">Ítems de inventario a cargo (23)</t>
  </si>
  <si>
    <t xml:space="preserve">Bloque</t>
  </si>
  <si>
    <t xml:space="preserve">Ítem</t>
  </si>
  <si>
    <t xml:space="preserve">¿Encargado general del grupo o tarea específica?</t>
  </si>
  <si>
    <t xml:space="preserve">Detalle / con quién hablar</t>
  </si>
  <si>
    <t xml:space="preserve">Otra comisión con la que revisar</t>
  </si>
  <si>
    <t xml:space="preserve">Estado</t>
  </si>
  <si>
    <t xml:space="preserve">Fecha límite</t>
  </si>
  <si>
    <t xml:space="preserve">Stock inventario</t>
  </si>
  <si>
    <t xml:space="preserve">Reto 50 hombres</t>
  </si>
  <si>
    <t xml:space="preserve">Conteo real (hoy)</t>
  </si>
  <si>
    <t xml:space="preserve">Falta p/ reto 50</t>
  </si>
  <si>
    <t xml:space="preserve">Producción — Confirmar préstamos</t>
  </si>
  <si>
    <t xml:space="preserve">CÁMARA DE FOTOS</t>
  </si>
  <si>
    <t xml:space="preserve">Encargado general del grupo</t>
  </si>
  <si>
    <t xml:space="preserve">Administración (Juliana) </t>
  </si>
  <si>
    <t xml:space="preserve">PRODUCCIÓN</t>
  </si>
  <si>
    <t xml:space="preserve">PENDIENTE GESTIONAR</t>
  </si>
  <si>
    <t xml:space="preserve">26 ago</t>
  </si>
  <si>
    <t xml:space="preserve">DRON DJI PRO 5</t>
  </si>
  <si>
    <t xml:space="preserve">Prestado por Marcos J.</t>
  </si>
  <si>
    <t xml:space="preserve">Logística — Gestión con Costa Rica</t>
  </si>
  <si>
    <t xml:space="preserve">BANDERA DE ESPAÑA PARA CAMISA</t>
  </si>
  <si>
    <t xml:space="preserve">LOGÍSTICA</t>
  </si>
  <si>
    <t xml:space="preserve">CAMISETAS RUGE</t>
  </si>
  <si>
    <t xml:space="preserve">ETIQUETAS DE MOCHILAS</t>
  </si>
  <si>
    <t xml:space="preserve">ETIQUETAS DE MOCHILAS PARA SERVIDORES</t>
  </si>
  <si>
    <t xml:space="preserve">GORRA RUGE</t>
  </si>
  <si>
    <t xml:space="preserve">PARCHE RUGE</t>
  </si>
  <si>
    <t xml:space="preserve">Logística — Confirmar alquiler</t>
  </si>
  <si>
    <t xml:space="preserve">ALQUILER DE AUTOBÚS 55 PLAZAS</t>
  </si>
  <si>
    <t xml:space="preserve">Tarea específica (encargado general del grupo: Julio Cesar Navia)</t>
  </si>
  <si>
    <t xml:space="preserve">Buscar alquiler y pasar presupuesto a Administración (Juliana) </t>
  </si>
  <si>
    <t xml:space="preserve">19 ago (miercoles) - MAXIMA URGENCIA</t>
  </si>
  <si>
    <t xml:space="preserve">RADIOS DE COMUNICACIÓN GRAN ALCANCE VHF</t>
  </si>
  <si>
    <t xml:space="preserve">TELÉFONO SATELITAL</t>
  </si>
  <si>
    <t xml:space="preserve">La Voz — Comprar</t>
  </si>
  <si>
    <t xml:space="preserve">CARAMELOS CON PROPÓLEO</t>
  </si>
  <si>
    <t xml:space="preserve">9 sept</t>
  </si>
  <si>
    <t xml:space="preserve">Logística — Confirmar préstamos</t>
  </si>
  <si>
    <t xml:space="preserve">CUERDAS PARA SEGURIDAD 20M</t>
  </si>
  <si>
    <t xml:space="preserve">Néstor</t>
  </si>
  <si>
    <t xml:space="preserve">LOGÍSTICA Y SEGURIDAD</t>
  </si>
  <si>
    <t xml:space="preserve">ESTUCHE DE INSULINA</t>
  </si>
  <si>
    <t xml:space="preserve">Marco Guanuchi</t>
  </si>
  <si>
    <t xml:space="preserve">TRANSPORTE PASTORAL</t>
  </si>
  <si>
    <t xml:space="preserve">LOGÍSTICA  Y SEGURIDAD</t>
  </si>
  <si>
    <t xml:space="preserve">ALTAVOCES</t>
  </si>
  <si>
    <t xml:space="preserve">Marcos Chiriguaya y Mariano B.</t>
  </si>
  <si>
    <t xml:space="preserve">LOGÍSTICA Y EVENTOS</t>
  </si>
  <si>
    <t xml:space="preserve">MANTEL VERDE PARA MESA DE CAMISETAS</t>
  </si>
  <si>
    <t xml:space="preserve">MESA PORTÁTIL PARA CAMISETAS</t>
  </si>
  <si>
    <t xml:space="preserve">Local multiusos Xodos</t>
  </si>
  <si>
    <t xml:space="preserve">1/LOCAL MULTIUSOS</t>
  </si>
  <si>
    <t xml:space="preserve">Logística — Verificar TERMOS en bodega (nuevo)</t>
  </si>
  <si>
    <t xml:space="preserve">TERMOS</t>
  </si>
  <si>
    <t xml:space="preserve">Tarea específica (encargado general del grupo: sin definir)</t>
  </si>
  <si>
    <t xml:space="preserve">LOGÍSTICA  Y EVENTOS</t>
  </si>
  <si>
    <t xml:space="preserve">ALMACEN RUGE</t>
  </si>
  <si>
    <t xml:space="preserve">19 ago (miercoles)</t>
  </si>
  <si>
    <t xml:space="preserve">RADIOS DE COMUNICACIÓN DE IGLESIA</t>
  </si>
  <si>
    <t xml:space="preserve">LOGÍSTICA Y GUIAS</t>
  </si>
  <si>
    <t xml:space="preserve">MIEL CON LIMÓN</t>
  </si>
  <si>
    <t xml:space="preserve">LA VOZ</t>
  </si>
  <si>
    <t xml:space="preserve">SPRAY ANTIINFLAMATORIO PARA GARGANTA CON PROPÓLEO</t>
  </si>
  <si>
    <t xml:space="preserve">Logística — Verificar propiedad existente</t>
  </si>
  <si>
    <t xml:space="preserve">BOLSAS DE PROVISIONES YA HECHAS</t>
  </si>
  <si>
    <t xml:space="preserve">LOGISTICA Y (EQUIPO SERVIDORES)</t>
  </si>
  <si>
    <t xml:space="preserve">FIDEOS RINTIN INSTANTÁNEOS</t>
  </si>
  <si>
    <t xml:space="preserve">Logística — Comprar (no perecedero)</t>
  </si>
  <si>
    <t xml:space="preserve">CARAMELOS SURTIDOS</t>
  </si>
  <si>
    <t xml:space="preserve">PAQUETES 2</t>
  </si>
  <si>
    <t xml:space="preserve">4 PAQUETES</t>
  </si>
  <si>
    <t xml:space="preserve">ATÚN</t>
  </si>
  <si>
    <t xml:space="preserve">BARRAS ENERGÉTICAS DE FRUTOS SECOS</t>
  </si>
  <si>
    <t xml:space="preserve">PAQUETES 7</t>
  </si>
  <si>
    <t xml:space="preserve">COLA CAO</t>
  </si>
  <si>
    <t xml:space="preserve">SOBRES 20</t>
  </si>
  <si>
    <t xml:space="preserve">GALLETAS DE DULCE CON CHOCOLATE BLANCO</t>
  </si>
  <si>
    <t xml:space="preserve">GALLETAS DIGESTIVAS MANZANA Y AVENA</t>
  </si>
  <si>
    <t xml:space="preserve">MINIS CEREAL RELLENO DE LECHE</t>
  </si>
  <si>
    <t xml:space="preserve">SNICKERS</t>
  </si>
  <si>
    <t xml:space="preserve">TANG BEBIDA INSTANTÁNEA</t>
  </si>
  <si>
    <t xml:space="preserve">SOBRES 9</t>
  </si>
  <si>
    <t xml:space="preserve">CAJAS ORGANIZADORAS 1ª REQUISA</t>
  </si>
  <si>
    <t xml:space="preserve">CAJAS ORGANIZADORAS 2ª REQUISA</t>
  </si>
  <si>
    <t xml:space="preserve">Tareas de proceso / coordinación a cargo (2)</t>
  </si>
  <si>
    <t xml:space="preserve">Tarea</t>
  </si>
  <si>
    <t xml:space="preserve">Detalle</t>
  </si>
  <si>
    <t xml:space="preserve">Notas</t>
  </si>
  <si>
    <t xml:space="preserve">Checklist de inventario por categoría con encargado</t>
  </si>
  <si>
    <t xml:space="preserve">Es el marco de la reunión del miércoles en sí: qué hay, cuánto hay, estado, qué falta, fecha límite y reporte por categoría</t>
  </si>
  <si>
    <t xml:space="preserve">Ruge — Tareas asignadas a Julio Cesar Navia</t>
  </si>
  <si>
    <t xml:space="preserve">Ítems de inventario a cargo (16)</t>
  </si>
  <si>
    <t xml:space="preserve">Logística — Encargar fabricación</t>
  </si>
  <si>
    <t xml:space="preserve">PEGATINA DE RUGE CON NOMBRE Y TALLA DEL SENDERISTA</t>
  </si>
  <si>
    <t xml:space="preserve">Mandarlo hacer — Levis</t>
  </si>
  <si>
    <t xml:space="preserve">RÓTULO LUMINOSO INFERIOR ESPAÑA</t>
  </si>
  <si>
    <t xml:space="preserve">PEGATINA CON NOMBRE PROVISIONES 20x13CM</t>
  </si>
  <si>
    <t xml:space="preserve">Mandarlo hacer — Marcos Chiriguaya</t>
  </si>
  <si>
    <t xml:space="preserve">Logística — Decidir compra o préstamo</t>
  </si>
  <si>
    <t xml:space="preserve">ALARGADOR ELÉCTRICO PARA LETRERO RUGE ILUMINADO</t>
  </si>
  <si>
    <t xml:space="preserve">ALARGADOR ELÉCTRICO</t>
  </si>
  <si>
    <t xml:space="preserve">PALA METÁLICA NORMAL PARA COGER EL CARBÓN</t>
  </si>
  <si>
    <t xml:space="preserve">CAMIÓN CAJA CERRADA</t>
  </si>
  <si>
    <t xml:space="preserve">Valorar opciones con Mateo y Jefferson</t>
  </si>
  <si>
    <t xml:space="preserve">FURGONETA GRANDE</t>
  </si>
  <si>
    <t xml:space="preserve">Valorar opción con Jefferson</t>
  </si>
  <si>
    <t xml:space="preserve">TRONCOS</t>
  </si>
  <si>
    <t xml:space="preserve">Hombre del pueblo</t>
  </si>
  <si>
    <t xml:space="preserve">FIGURAS PARA PREMIOS</t>
  </si>
  <si>
    <t xml:space="preserve">Valorar opción con Richard</t>
  </si>
  <si>
    <t xml:space="preserve">CINTA REFLECTANTE NOCTURNA PLATEADA</t>
  </si>
  <si>
    <t xml:space="preserve">BOLSAS DE BASURA NEGRAS 100L</t>
  </si>
  <si>
    <t xml:space="preserve">BOLSAS DE BASURA NEGRAS 50L</t>
  </si>
  <si>
    <t xml:space="preserve">ESTRUCTURA DE SUJECIÓN DE RÓTULOS</t>
  </si>
  <si>
    <t xml:space="preserve">Metal o madera desmontable — valorar que la haga Néstor</t>
  </si>
  <si>
    <t xml:space="preserve">FUEGOS PIROTÉCNICOS CON BATERÍA EN FRÍO</t>
  </si>
  <si>
    <t xml:space="preserve">BOLSAS ZIPLOC PARA REQUISAS Y CAL 30x40CM</t>
  </si>
  <si>
    <t xml:space="preserve">GUANTES DE PROTECCIÓN</t>
  </si>
  <si>
    <t xml:space="preserve">Tareas de proceso / coordinación a cargo (1)</t>
  </si>
  <si>
    <t xml:space="preserve">Comprar, recibir y almacenar en lugar seguro lo comprado</t>
  </si>
  <si>
    <t xml:space="preserve">Proceso general — organizar quién recibe y dónde se guarda todo lo comprado</t>
  </si>
  <si>
    <t xml:space="preserve">Ruge — Tareas asignadas a David Luzuriaga</t>
  </si>
  <si>
    <t xml:space="preserve">Ítems de inventario a cargo (114)</t>
  </si>
  <si>
    <t xml:space="preserve">CAMIÓN CAJA ABIERTA</t>
  </si>
  <si>
    <t xml:space="preserve">MÁXIMA URGENCIA</t>
  </si>
  <si>
    <t xml:space="preserve">Logística — Completar cantidad faltante</t>
  </si>
  <si>
    <t xml:space="preserve">AGUA PARA SENDERISTAS 5L</t>
  </si>
  <si>
    <t xml:space="preserve">26 ago (revisar el miercoles)</t>
  </si>
  <si>
    <t xml:space="preserve">PLATOS CENA DEL REY CON LOGO RUGE</t>
  </si>
  <si>
    <t xml:space="preserve">CAÑAS PARA ANTORCHAS</t>
  </si>
  <si>
    <t xml:space="preserve">CAL NATURAL</t>
  </si>
  <si>
    <t xml:space="preserve">3 SACOS</t>
  </si>
  <si>
    <t xml:space="preserve">Sueltos de la retrospectiva (fuera del inventario formal)</t>
  </si>
  <si>
    <t xml:space="preserve">Protocolo de numeración de radios y responsable por radio</t>
  </si>
  <si>
    <t xml:space="preserve">(fuera de inventario)</t>
  </si>
  <si>
    <t xml:space="preserve">Cruz — pico/cortafierro para el hueco</t>
  </si>
  <si>
    <t xml:space="preserve">O coordinar hacerlo días antes; David puede prestar herramienta de obra</t>
  </si>
  <si>
    <t xml:space="preserve">Elementos para las prédicas (copa de cristal)</t>
  </si>
  <si>
    <t xml:space="preserve">CUERDA BLANCA DE CARGA 20M</t>
  </si>
  <si>
    <t xml:space="preserve">Colgar lona piedra Xodos</t>
  </si>
  <si>
    <t xml:space="preserve">ANTORCHAS DE LED SOLARES</t>
  </si>
  <si>
    <t xml:space="preserve">⚠ Retro decía faltan 2 — confirmar cuál dato es correcto</t>
  </si>
  <si>
    <t xml:space="preserve">FOCOS RECTANGULARES LED</t>
  </si>
  <si>
    <t xml:space="preserve">Cartel bienvenida</t>
  </si>
  <si>
    <t xml:space="preserve">PALA GRANDE</t>
  </si>
  <si>
    <t xml:space="preserve">Cocina — Pendientes varios</t>
  </si>
  <si>
    <t xml:space="preserve">ATIZADOR PARA MOVER EL CARBÓN</t>
  </si>
  <si>
    <t xml:space="preserve">Construcción a cargo de Marcos Chiriguaya, confirmar que lo tiene listo</t>
  </si>
  <si>
    <t xml:space="preserve">COCINA</t>
  </si>
  <si>
    <t xml:space="preserve">CUCHARAS DE PLASTICO 100 UNIDADES</t>
  </si>
  <si>
    <t xml:space="preserve">Ya completo — solo confirmar que están en almacén</t>
  </si>
  <si>
    <t xml:space="preserve">100 UNIDADES</t>
  </si>
  <si>
    <t xml:space="preserve">Cocina — Decidir compra o préstamo</t>
  </si>
  <si>
    <t xml:space="preserve">BANDEJAS PARA SERVIR</t>
  </si>
  <si>
    <t xml:space="preserve">BOL METÁLICO DE COCINA GRANDE</t>
  </si>
  <si>
    <t xml:space="preserve">BUTANOS</t>
  </si>
  <si>
    <t xml:space="preserve">CUCHARA DE MADERA</t>
  </si>
  <si>
    <t xml:space="preserve">CUCHARÓN CAZO GRANDE</t>
  </si>
  <si>
    <t xml:space="preserve">CUCHARÓN GRANDE DE REPARTICIÓN</t>
  </si>
  <si>
    <t xml:space="preserve">CUCHILLOS DE CORTE</t>
  </si>
  <si>
    <t xml:space="preserve">DELANTALES DE COCINA</t>
  </si>
  <si>
    <t xml:space="preserve">ESPUMADERA GRANDE</t>
  </si>
  <si>
    <t xml:space="preserve">HORNILLO DE GAS PARA OLLA 100L</t>
  </si>
  <si>
    <t xml:space="preserve">HORNILLOS DE GAS PARA OLLA 50L</t>
  </si>
  <si>
    <t xml:space="preserve">JARRAS 2L</t>
  </si>
  <si>
    <t xml:space="preserve">OLLA ARROSERA 15L</t>
  </si>
  <si>
    <t xml:space="preserve">OLLA PARA COCINAR 50L</t>
  </si>
  <si>
    <t xml:space="preserve">PELADOR DE PATATAS</t>
  </si>
  <si>
    <t xml:space="preserve">RALLADOR DE ALIMENTOS</t>
  </si>
  <si>
    <t xml:space="preserve">SARTEN NORMAL GRANDE</t>
  </si>
  <si>
    <t xml:space="preserve">TABLA DE PICAR</t>
  </si>
  <si>
    <t xml:space="preserve">TIJERA DE COCINA</t>
  </si>
  <si>
    <t xml:space="preserve">BROCHA DE SILICONA (salsa barbacoa)</t>
  </si>
  <si>
    <t xml:space="preserve">CEPILLO METALICO PARRILLA</t>
  </si>
  <si>
    <t xml:space="preserve">GUANTES DE BARBACOA</t>
  </si>
  <si>
    <t xml:space="preserve">MECHEROS</t>
  </si>
  <si>
    <t xml:space="preserve">PINZAS GRANDES PARA ASAR</t>
  </si>
  <si>
    <t xml:space="preserve">Cocina — Confirmar préstamos</t>
  </si>
  <si>
    <t xml:space="preserve">AFILADOR DE CUCHILLOS</t>
  </si>
  <si>
    <t xml:space="preserve">Marcos Chiriguaya</t>
  </si>
  <si>
    <t xml:space="preserve">MICRO ONDAS</t>
  </si>
  <si>
    <t xml:space="preserve">1 Marcos J. + buscar otro</t>
  </si>
  <si>
    <t xml:space="preserve">OLLA PARA COCINAR 100L</t>
  </si>
  <si>
    <t xml:space="preserve">Marcos Jurado</t>
  </si>
  <si>
    <t xml:space="preserve">SARTEN WOOK GRANDE</t>
  </si>
  <si>
    <t xml:space="preserve">FOCO REFLECTOR DE PIE</t>
  </si>
  <si>
    <t xml:space="preserve">Iglesia Impact Valencia</t>
  </si>
  <si>
    <t xml:space="preserve">Cocina — Completar cantidad faltante</t>
  </si>
  <si>
    <t xml:space="preserve">PLATOS DE CARTON DE 6 UNIDADES</t>
  </si>
  <si>
    <t xml:space="preserve">70 UNIDADES</t>
  </si>
  <si>
    <t xml:space="preserve">TENEDORES DE PLASTICO DE 100 UNIDADES</t>
  </si>
  <si>
    <t xml:space="preserve">PAQUETES 1</t>
  </si>
  <si>
    <t xml:space="preserve">VASOS DE CARTON PARA CAFÉ 50 UNIDADES</t>
  </si>
  <si>
    <t xml:space="preserve">150 UNIDADES</t>
  </si>
  <si>
    <t xml:space="preserve">VASOS PLASTICOS PARA BEBIDA 100 UNIDADES</t>
  </si>
  <si>
    <t xml:space="preserve">200  UNIDADES</t>
  </si>
  <si>
    <t xml:space="preserve">CAFÉ SOLUBLE BOTE</t>
  </si>
  <si>
    <t xml:space="preserve">Cocina — Comprar limpieza y alimentación (perecedero, cerca de octubre)</t>
  </si>
  <si>
    <t xml:space="preserve">BALLETAS DE COCINA PAQUETES DE 3 UNIDADES</t>
  </si>
  <si>
    <t xml:space="preserve">2 PAQUETES</t>
  </si>
  <si>
    <t xml:space="preserve">CUBO PARA FREGAR</t>
  </si>
  <si>
    <t xml:space="preserve">ESCOBAS PARA BARRER</t>
  </si>
  <si>
    <t xml:space="preserve">ESTROPAJO DE METAL</t>
  </si>
  <si>
    <t xml:space="preserve">ESTROPAJO PARA LAVAR PLATOS</t>
  </si>
  <si>
    <t xml:space="preserve">FREGASUELOS</t>
  </si>
  <si>
    <t xml:space="preserve">LABAVAJILLAS DE PLATOS</t>
  </si>
  <si>
    <t xml:space="preserve">LEJIA NORMAL LIQUIDA</t>
  </si>
  <si>
    <t xml:space="preserve">MOCHOS PARA FREGAR</t>
  </si>
  <si>
    <t xml:space="preserve">PAPEL DE COCINA EN ROLLO</t>
  </si>
  <si>
    <t xml:space="preserve">1 ROLLO</t>
  </si>
  <si>
    <t xml:space="preserve">RECOGEDOR DE BASURA</t>
  </si>
  <si>
    <t xml:space="preserve">CARBÓN BOLSAS DE 5 KILOS</t>
  </si>
  <si>
    <t xml:space="preserve">12 BOLSAS</t>
  </si>
  <si>
    <t xml:space="preserve">PASTILLAS PARA ENCENDER FUEGO</t>
  </si>
  <si>
    <t xml:space="preserve">ACEITE GIRASOL 5 LITROS</t>
  </si>
  <si>
    <t xml:space="preserve">1 BOTE</t>
  </si>
  <si>
    <t xml:space="preserve">ACHOTE PASTA</t>
  </si>
  <si>
    <t xml:space="preserve">ACUARIUS DE 2 LITROS (pastores)</t>
  </si>
  <si>
    <t xml:space="preserve">AJINO MOTO</t>
  </si>
  <si>
    <t xml:space="preserve">1 BOLSA</t>
  </si>
  <si>
    <t xml:space="preserve">AJO ACEITE EN BOTE PARA UNTAR DE 800 ML</t>
  </si>
  <si>
    <t xml:space="preserve">4 BOTES</t>
  </si>
  <si>
    <t xml:space="preserve">AJO EN POLVO</t>
  </si>
  <si>
    <t xml:space="preserve">AJO NATURAL EN MALLAS</t>
  </si>
  <si>
    <t xml:space="preserve">1 KILO</t>
  </si>
  <si>
    <t xml:space="preserve">ALUBIAS NEGRAS DE BOTE</t>
  </si>
  <si>
    <t xml:space="preserve">APIO</t>
  </si>
  <si>
    <t xml:space="preserve">2 FAJOS</t>
  </si>
  <si>
    <t xml:space="preserve">ARROZ LARGO</t>
  </si>
  <si>
    <t xml:space="preserve">5 BOLSAS DE 1 KILO</t>
  </si>
  <si>
    <t xml:space="preserve">AZUCAR BLANCA BOLSAS DE 1 KILO</t>
  </si>
  <si>
    <t xml:space="preserve">BEBIDA COCA COLA MEDIO LITRO</t>
  </si>
  <si>
    <t xml:space="preserve">BEBIDA ISOTÓNICA COLOR AZUL</t>
  </si>
  <si>
    <t xml:space="preserve">CARNE CHULETA DE TERNERA SIN HUESO 250G</t>
  </si>
  <si>
    <t xml:space="preserve">CARNE PICADA MIXTA PARA SPAGUETIS</t>
  </si>
  <si>
    <t xml:space="preserve">2 KILOS</t>
  </si>
  <si>
    <t xml:space="preserve">CEBOLLA BLANCA</t>
  </si>
  <si>
    <t xml:space="preserve">CEBOLLA ROJA</t>
  </si>
  <si>
    <t xml:space="preserve">CHULETA DE AGUJA DE CERDO</t>
  </si>
  <si>
    <t xml:space="preserve">CILANTRO</t>
  </si>
  <si>
    <t xml:space="preserve">COCA COLAS DE 2 LITROS (pastores)</t>
  </si>
  <si>
    <t xml:space="preserve">COMIDO EN BOTE</t>
  </si>
  <si>
    <t xml:space="preserve">HUEVOS CUBETAS DE 12</t>
  </si>
  <si>
    <t xml:space="preserve">3 CUBETAS DE 12</t>
  </si>
  <si>
    <t xml:space="preserve">LECHE ENTERA DE 1 LITRO</t>
  </si>
  <si>
    <t xml:space="preserve">3 LITROS</t>
  </si>
  <si>
    <t xml:space="preserve">LIMÓN</t>
  </si>
  <si>
    <t xml:space="preserve">LONGANIZAS</t>
  </si>
  <si>
    <t xml:space="preserve">MAÍZ DULCE</t>
  </si>
  <si>
    <t xml:space="preserve">MORCILLAS</t>
  </si>
  <si>
    <t xml:space="preserve">OREGANO EN BOTE</t>
  </si>
  <si>
    <t xml:space="preserve">PAN DE BARRA</t>
  </si>
  <si>
    <t xml:space="preserve">50 BARRAS DE PAN</t>
  </si>
  <si>
    <t xml:space="preserve">PATATAS GRANDES 200G</t>
  </si>
  <si>
    <t xml:space="preserve">PEREGIL EN BOTE</t>
  </si>
  <si>
    <t xml:space="preserve">PIMIENTA NEGRA</t>
  </si>
  <si>
    <t xml:space="preserve">PIMIENTO VERDE</t>
  </si>
  <si>
    <t xml:space="preserve">PIMIENTON ROJO DULCE EN BOTE</t>
  </si>
  <si>
    <t xml:space="preserve">PLATANO DE FREIR (MADURO)</t>
  </si>
  <si>
    <t xml:space="preserve">8 PLATANOS</t>
  </si>
  <si>
    <t xml:space="preserve">POLLO CUARTOS TRASEROS</t>
  </si>
  <si>
    <t xml:space="preserve">POLLO ENTEROS (pastores)</t>
  </si>
  <si>
    <t xml:space="preserve">PUERRO</t>
  </si>
  <si>
    <t xml:space="preserve">4 UNIDADES</t>
  </si>
  <si>
    <t xml:space="preserve">QUESO FRESCO COSTEÑO</t>
  </si>
  <si>
    <t xml:space="preserve">SAL NORMAL</t>
  </si>
  <si>
    <t xml:space="preserve">2 BOLSAS</t>
  </si>
  <si>
    <t xml:space="preserve">SPAGUETIS</t>
  </si>
  <si>
    <t xml:space="preserve">TOMATE NATURAL</t>
  </si>
  <si>
    <t xml:space="preserve">4 KILOS</t>
  </si>
  <si>
    <t xml:space="preserve">TOMILLO EN BOTE</t>
  </si>
  <si>
    <t xml:space="preserve">TORTILLA DE PATATA EN PAQUETE</t>
  </si>
  <si>
    <t xml:space="preserve">14 PAQUETES</t>
  </si>
  <si>
    <t xml:space="preserve">ZUMOS DE NARANJA 2L</t>
  </si>
  <si>
    <t xml:space="preserve">ZUMOS MULTIFRUTAS 2L (pastores)</t>
  </si>
  <si>
    <t xml:space="preserve">NEVERAS AZULES PARA ALIMENTOS</t>
  </si>
  <si>
    <t xml:space="preserve">ALMACEN RUGE (ya en stock) — confirmar con Adrián Rivera que esté en buen estado y la cantidad correcta.</t>
  </si>
  <si>
    <t xml:space="preserve">PAPEL ALUMINIO</t>
  </si>
  <si>
    <t xml:space="preserve">SERVILLETAS PAQUETES</t>
  </si>
  <si>
    <t xml:space="preserve">PAQUETES 4</t>
  </si>
  <si>
    <t xml:space="preserve">BANDEJA INFERIOR DE PARILLA</t>
  </si>
  <si>
    <t xml:space="preserve">CARETILLA PARA ENCENDER EL CARBON</t>
  </si>
  <si>
    <t xml:space="preserve">PARRILLA METALICA PARA ASAR GRANDE</t>
  </si>
  <si>
    <t xml:space="preserve">CAJAS DE AZUCAR INDIVIDUALES</t>
  </si>
  <si>
    <t xml:space="preserve">2 CAJAS</t>
  </si>
  <si>
    <t xml:space="preserve">ARENA PARA BORDE PISCINA 25KG</t>
  </si>
  <si>
    <t xml:space="preserve">CUERDAS ELÁSTICAS PISCINA NEGRAS 20M</t>
  </si>
  <si>
    <t xml:space="preserve">ESTACAS</t>
  </si>
  <si>
    <t xml:space="preserve">ARENA PARA MEZCLA DE LODO 25KG</t>
  </si>
  <si>
    <t xml:space="preserve">PAJA EN FARDO GRANDE</t>
  </si>
  <si>
    <t xml:space="preserve">PRECINTO TRANSPARENTE</t>
  </si>
  <si>
    <t xml:space="preserve">TIERRA ORGÁNICA SACOS GRANDES</t>
  </si>
  <si>
    <t xml:space="preserve">ADAPTADOR DE GRIFO</t>
  </si>
  <si>
    <t xml:space="preserve">BANDERAS DE ESPAÑA</t>
  </si>
  <si>
    <t xml:space="preserve">BANDERAS DE TRIBU</t>
  </si>
  <si>
    <t xml:space="preserve">BATERIA MARCA BOSH</t>
  </si>
  <si>
    <t xml:space="preserve">1 CARGADA AL 100%</t>
  </si>
  <si>
    <t xml:space="preserve">BIDON DE AGUA CAPACIDAD 1.000 LITROS</t>
  </si>
  <si>
    <t xml:space="preserve">CABLES DE CONEXIÓN DE BATERIA A CRUZ</t>
  </si>
  <si>
    <t xml:space="preserve">CAJAS DE MADERA PARA RECIBIR PROVISIONES Y AGUA(OFRENDA)</t>
  </si>
  <si>
    <t xml:space="preserve">CAPAZOS NEGROS</t>
  </si>
  <si>
    <t xml:space="preserve">CONECTOR RAPIDO DE GRIFO</t>
  </si>
  <si>
    <t xml:space="preserve">CONEXIÓN PARA ADAPTADOR IBC CON GRIFO PARA BIDON</t>
  </si>
  <si>
    <t xml:space="preserve">CRUZ DE MADERA CON ILUMINACION LED</t>
  </si>
  <si>
    <t xml:space="preserve">LEÑA PARA FOGATA</t>
  </si>
  <si>
    <t xml:space="preserve">SACOS 4</t>
  </si>
  <si>
    <t xml:space="preserve">4/ SACOS</t>
  </si>
  <si>
    <t xml:space="preserve">LONA DE BIENVENIDOS PARA RECIBIR VISITA Y STAND</t>
  </si>
  <si>
    <t xml:space="preserve">LONA VERTICAL DE RUGE (LLEGADA A XODOS PIEDRA )</t>
  </si>
  <si>
    <t xml:space="preserve">LONAS AZULES LAS MAS GRANDES</t>
  </si>
  <si>
    <t xml:space="preserve">LONAS ROJAS</t>
  </si>
  <si>
    <t xml:space="preserve">LONAS VERDES QUE VAN A SUELO DEBAJO DE LA PRINCIPAL</t>
  </si>
  <si>
    <t xml:space="preserve">MANGUERA VERDE</t>
  </si>
  <si>
    <t xml:space="preserve">MANTAS TERMICAS</t>
  </si>
  <si>
    <t xml:space="preserve">PLASTICOS NEGROS GRANDES</t>
  </si>
  <si>
    <t xml:space="preserve">2/ DE 10 X 10 METROS</t>
  </si>
  <si>
    <t xml:space="preserve">ROTULO LUMINOSO SUPERIOR RUGE (LLEGADA A  CENA DEL REY)</t>
  </si>
  <si>
    <t xml:space="preserve">COCINAS PORTATILES DE GAS</t>
  </si>
  <si>
    <t xml:space="preserve">PALAS PEQUEÑAS PARA TRIBUS</t>
  </si>
  <si>
    <t xml:space="preserve">BUTANO PORTABLE PARA COCINAS DE SENDERISTAS</t>
  </si>
  <si>
    <t xml:space="preserve">6 LLENOS</t>
  </si>
  <si>
    <t xml:space="preserve">MACHETE</t>
  </si>
  <si>
    <t xml:space="preserve">KIT PRIMEROS AUXILIOS</t>
  </si>
  <si>
    <t xml:space="preserve">TAMBOR Y PALOS</t>
  </si>
  <si>
    <t xml:space="preserve">PASTILLAS PARA ENCENDER FOGATA</t>
  </si>
  <si>
    <t xml:space="preserve">BOLSA PLÁSTICA NEGRA PARA EMPACAR</t>
  </si>
  <si>
    <t xml:space="preserve">Ruge — Tareas asignadas a Mariano Barcelona</t>
  </si>
  <si>
    <t xml:space="preserve">Reparto acordado en la llamada de logística del 17 ago 2026, verificado contra el inventario real (INVENTARIO_2026_RUGE.xlsx). Fechas límite posteriores al 10 de septiembre se dejan en blanco. Ítems sin encargado claro no aparecen acá — están en la hoja 'Sin asignar responsable'.</t>
  </si>
  <si>
    <t xml:space="preserve">Tareas de proceso / coordinación a cargo (4)</t>
  </si>
  <si>
    <t xml:space="preserve">Proponer compra a administración de la iglesia</t>
  </si>
  <si>
    <t xml:space="preserve">Armar la propuesta de presupuesto para presentar a administración</t>
  </si>
  <si>
    <t xml:space="preserve">4 sept</t>
  </si>
  <si>
    <t xml:space="preserve">Coordinación general — presupuestos</t>
  </si>
  <si>
    <t xml:space="preserve">Recibir los presupuestos/listas que arman Marco, Julio y David y pasarlos a administración (Juliana). No es tarea de compra directa.</t>
  </si>
  <si>
    <t xml:space="preserve">Rol de coordinador, no tarea de campo.</t>
  </si>
  <si>
    <t xml:space="preserve">Coordinación general — Marco Jurado</t>
  </si>
  <si>
    <t xml:space="preserve">Punto de contacto general con Marco Jurado (quien conecta con Richard y otros proveedores dentro de las tareas de Julio).</t>
  </si>
  <si>
    <t xml:space="preserve">Control general de cumplimiento</t>
  </si>
  <si>
    <t xml:space="preserve">Controlar que Marco Guanuchi, Julio y David cumplan las tareas que se comprometieron a hacer.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</si>
</sst>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 mmm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  <font>
      <i val="true"/>
      <sz val="10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00FF00"/>
        <bgColor rgb="FF33CCCC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99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19.86"/>
    <col collapsed="false" customWidth="true" hidden="false" outlineLevel="0" max="3" min="3" style="1" width="17"/>
    <col collapsed="false" customWidth="true" hidden="false" outlineLevel="0" max="4" min="4" style="1" width="19.43"/>
    <col collapsed="false" customWidth="true" hidden="false" outlineLevel="0" max="5" min="5" style="1" width="15.43"/>
    <col collapsed="false" customWidth="true" hidden="false" outlineLevel="0" max="6" min="6" style="1" width="12.14"/>
    <col collapsed="false" customWidth="true" hidden="false" outlineLevel="0" max="7" min="7" style="1" width="8"/>
    <col collapsed="false" customWidth="true" hidden="false" outlineLevel="0" max="8" min="8" style="1" width="14"/>
    <col collapsed="false" customWidth="true" hidden="false" outlineLevel="0" max="26" min="9" style="1" width="1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34.5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6" t="s">
        <v>10</v>
      </c>
      <c r="J5" s="6" t="s">
        <v>11</v>
      </c>
      <c r="K5" s="6" t="s">
        <v>12</v>
      </c>
    </row>
    <row r="6" customFormat="false" ht="34.5" hidden="false" customHeight="true" outlineLevel="0" collapsed="false">
      <c r="A6" s="7" t="s">
        <v>13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1" t="n">
        <v>0</v>
      </c>
      <c r="I6" s="1" t="n">
        <v>1</v>
      </c>
      <c r="K6" s="1" t="n">
        <f aca="false">IFERROR(MAX(0,I6-IF(J6&lt;&gt;"",J6,H6)),"revisar unidad")</f>
        <v>1</v>
      </c>
    </row>
    <row r="7" customFormat="false" ht="34.5" hidden="false" customHeight="true" outlineLevel="0" collapsed="false">
      <c r="A7" s="7" t="s">
        <v>13</v>
      </c>
      <c r="B7" s="7" t="s">
        <v>20</v>
      </c>
      <c r="C7" s="7" t="s">
        <v>15</v>
      </c>
      <c r="D7" s="7" t="s">
        <v>21</v>
      </c>
      <c r="E7" s="7" t="s">
        <v>17</v>
      </c>
      <c r="F7" s="7" t="s">
        <v>18</v>
      </c>
      <c r="G7" s="7" t="s">
        <v>19</v>
      </c>
      <c r="H7" s="1" t="n">
        <v>0</v>
      </c>
      <c r="I7" s="1" t="n">
        <v>1</v>
      </c>
      <c r="K7" s="1" t="n">
        <f aca="false">IFERROR(MAX(0,I7-IF(J7&lt;&gt;"",J7,H7)),"revisar unidad")</f>
        <v>1</v>
      </c>
    </row>
    <row r="8" customFormat="false" ht="34.5" hidden="false" customHeight="true" outlineLevel="0" collapsed="false">
      <c r="A8" s="7" t="s">
        <v>22</v>
      </c>
      <c r="B8" s="7" t="s">
        <v>23</v>
      </c>
      <c r="C8" s="7" t="s">
        <v>15</v>
      </c>
      <c r="D8" s="7" t="s">
        <v>16</v>
      </c>
      <c r="E8" s="7" t="s">
        <v>24</v>
      </c>
      <c r="F8" s="7" t="s">
        <v>18</v>
      </c>
      <c r="G8" s="7" t="s">
        <v>19</v>
      </c>
      <c r="H8" s="1" t="n">
        <v>0</v>
      </c>
      <c r="I8" s="1" t="n">
        <v>80</v>
      </c>
      <c r="K8" s="1" t="n">
        <f aca="false">IFERROR(MAX(0,I8-IF(J8&lt;&gt;"",J8,H8)),"revisar unidad")</f>
        <v>80</v>
      </c>
    </row>
    <row r="9" customFormat="false" ht="34.5" hidden="false" customHeight="true" outlineLevel="0" collapsed="false">
      <c r="A9" s="7" t="s">
        <v>22</v>
      </c>
      <c r="B9" s="7" t="s">
        <v>25</v>
      </c>
      <c r="C9" s="7" t="s">
        <v>15</v>
      </c>
      <c r="D9" s="7" t="s">
        <v>16</v>
      </c>
      <c r="E9" s="7" t="s">
        <v>24</v>
      </c>
      <c r="F9" s="7" t="s">
        <v>18</v>
      </c>
      <c r="G9" s="7" t="s">
        <v>19</v>
      </c>
      <c r="H9" s="1" t="n">
        <v>0</v>
      </c>
      <c r="I9" s="1" t="n">
        <v>60</v>
      </c>
      <c r="K9" s="1" t="n">
        <f aca="false">IFERROR(MAX(0,I9-IF(J9&lt;&gt;"",J9,H9)),"revisar unidad")</f>
        <v>60</v>
      </c>
    </row>
    <row r="10" customFormat="false" ht="34.5" hidden="false" customHeight="true" outlineLevel="0" collapsed="false">
      <c r="A10" s="7" t="s">
        <v>22</v>
      </c>
      <c r="B10" s="7" t="s">
        <v>26</v>
      </c>
      <c r="C10" s="7" t="s">
        <v>15</v>
      </c>
      <c r="D10" s="7" t="s">
        <v>16</v>
      </c>
      <c r="E10" s="7" t="s">
        <v>24</v>
      </c>
      <c r="F10" s="7" t="s">
        <v>18</v>
      </c>
      <c r="G10" s="7" t="s">
        <v>19</v>
      </c>
      <c r="H10" s="1" t="n">
        <v>0</v>
      </c>
      <c r="I10" s="1" t="n">
        <v>50</v>
      </c>
      <c r="K10" s="1" t="n">
        <f aca="false">IFERROR(MAX(0,I10-IF(J10&lt;&gt;"",J10,H10)),"revisar unidad")</f>
        <v>50</v>
      </c>
    </row>
    <row r="11" customFormat="false" ht="34.5" hidden="false" customHeight="true" outlineLevel="0" collapsed="false">
      <c r="A11" s="7" t="s">
        <v>22</v>
      </c>
      <c r="B11" s="7" t="s">
        <v>27</v>
      </c>
      <c r="C11" s="7" t="s">
        <v>15</v>
      </c>
      <c r="D11" s="7" t="s">
        <v>16</v>
      </c>
      <c r="E11" s="7" t="s">
        <v>24</v>
      </c>
      <c r="F11" s="7" t="s">
        <v>18</v>
      </c>
      <c r="G11" s="7" t="s">
        <v>19</v>
      </c>
      <c r="H11" s="1" t="n">
        <v>0</v>
      </c>
      <c r="I11" s="1" t="n">
        <v>50</v>
      </c>
      <c r="K11" s="1" t="n">
        <f aca="false">IFERROR(MAX(0,I11-IF(J11&lt;&gt;"",J11,H11)),"revisar unidad")</f>
        <v>50</v>
      </c>
    </row>
    <row r="12" customFormat="false" ht="34.5" hidden="false" customHeight="true" outlineLevel="0" collapsed="false">
      <c r="A12" s="7" t="s">
        <v>22</v>
      </c>
      <c r="B12" s="7" t="s">
        <v>28</v>
      </c>
      <c r="C12" s="7" t="s">
        <v>15</v>
      </c>
      <c r="D12" s="7" t="s">
        <v>16</v>
      </c>
      <c r="E12" s="7" t="s">
        <v>24</v>
      </c>
      <c r="F12" s="7" t="s">
        <v>18</v>
      </c>
      <c r="G12" s="7" t="s">
        <v>19</v>
      </c>
      <c r="H12" s="1" t="n">
        <v>0</v>
      </c>
      <c r="I12" s="1" t="n">
        <v>60</v>
      </c>
      <c r="K12" s="1" t="n">
        <f aca="false">IFERROR(MAX(0,I12-IF(J12&lt;&gt;"",J12,H12)),"revisar unidad")</f>
        <v>60</v>
      </c>
    </row>
    <row r="13" customFormat="false" ht="34.5" hidden="false" customHeight="true" outlineLevel="0" collapsed="false">
      <c r="A13" s="7" t="s">
        <v>22</v>
      </c>
      <c r="B13" s="7" t="s">
        <v>29</v>
      </c>
      <c r="C13" s="7" t="s">
        <v>15</v>
      </c>
      <c r="D13" s="7" t="s">
        <v>16</v>
      </c>
      <c r="E13" s="7" t="s">
        <v>24</v>
      </c>
      <c r="F13" s="7" t="s">
        <v>18</v>
      </c>
      <c r="G13" s="7" t="s">
        <v>19</v>
      </c>
      <c r="H13" s="1" t="n">
        <v>0</v>
      </c>
      <c r="I13" s="1" t="n">
        <v>60</v>
      </c>
      <c r="K13" s="1" t="n">
        <f aca="false">IFERROR(MAX(0,I13-IF(J13&lt;&gt;"",J13,H13)),"revisar unidad")</f>
        <v>60</v>
      </c>
    </row>
    <row r="14" customFormat="false" ht="15.75" hidden="false" customHeight="true" outlineLevel="0" collapsed="false">
      <c r="A14" s="7" t="s">
        <v>30</v>
      </c>
      <c r="B14" s="7" t="s">
        <v>31</v>
      </c>
      <c r="C14" s="7" t="s">
        <v>32</v>
      </c>
      <c r="D14" s="7" t="s">
        <v>33</v>
      </c>
      <c r="E14" s="7" t="s">
        <v>24</v>
      </c>
      <c r="F14" s="7" t="s">
        <v>18</v>
      </c>
      <c r="G14" s="7" t="s">
        <v>34</v>
      </c>
      <c r="H14" s="1" t="n">
        <v>0</v>
      </c>
      <c r="I14" s="1" t="n">
        <v>1</v>
      </c>
      <c r="K14" s="1" t="n">
        <f aca="false">IFERROR(MAX(0,I14-IF(J14&lt;&gt;"",J14,H14)),"revisar unidad")</f>
        <v>1</v>
      </c>
    </row>
    <row r="15" customFormat="false" ht="15.75" hidden="false" customHeight="true" outlineLevel="0" collapsed="false">
      <c r="A15" s="7" t="s">
        <v>30</v>
      </c>
      <c r="B15" s="7" t="s">
        <v>35</v>
      </c>
      <c r="C15" s="7" t="s">
        <v>32</v>
      </c>
      <c r="D15" s="7" t="s">
        <v>33</v>
      </c>
      <c r="E15" s="7" t="s">
        <v>24</v>
      </c>
      <c r="F15" s="7" t="s">
        <v>18</v>
      </c>
      <c r="G15" s="7" t="s">
        <v>34</v>
      </c>
      <c r="H15" s="1" t="n">
        <v>0</v>
      </c>
      <c r="I15" s="1" t="n">
        <v>15</v>
      </c>
      <c r="K15" s="1" t="n">
        <f aca="false">IFERROR(MAX(0,I15-IF(J15&lt;&gt;"",J15,H15)),"revisar unidad")</f>
        <v>15</v>
      </c>
    </row>
    <row r="16" customFormat="false" ht="15.75" hidden="false" customHeight="true" outlineLevel="0" collapsed="false">
      <c r="A16" s="7" t="s">
        <v>30</v>
      </c>
      <c r="B16" s="7" t="s">
        <v>36</v>
      </c>
      <c r="C16" s="7" t="s">
        <v>32</v>
      </c>
      <c r="D16" s="7" t="s">
        <v>33</v>
      </c>
      <c r="E16" s="7" t="s">
        <v>24</v>
      </c>
      <c r="F16" s="7" t="s">
        <v>18</v>
      </c>
      <c r="G16" s="7" t="s">
        <v>34</v>
      </c>
      <c r="H16" s="1" t="n">
        <v>0</v>
      </c>
      <c r="I16" s="1" t="n">
        <v>2</v>
      </c>
      <c r="K16" s="1" t="n">
        <f aca="false">IFERROR(MAX(0,I16-IF(J16&lt;&gt;"",J16,H16)),"revisar unidad")</f>
        <v>2</v>
      </c>
    </row>
    <row r="17" customFormat="false" ht="15.75" hidden="false" customHeight="true" outlineLevel="0" collapsed="false">
      <c r="A17" s="7" t="s">
        <v>37</v>
      </c>
      <c r="B17" s="7" t="s">
        <v>38</v>
      </c>
      <c r="C17" s="7" t="s">
        <v>15</v>
      </c>
      <c r="D17" s="7"/>
      <c r="E17" s="7" t="s">
        <v>24</v>
      </c>
      <c r="F17" s="7" t="s">
        <v>18</v>
      </c>
      <c r="G17" s="7" t="s">
        <v>39</v>
      </c>
      <c r="H17" s="1" t="n">
        <v>0</v>
      </c>
      <c r="I17" s="1" t="n">
        <v>1</v>
      </c>
      <c r="K17" s="1" t="n">
        <f aca="false">IFERROR(MAX(0,I17-IF(J17&lt;&gt;"",J17,H17)),"revisar unidad")</f>
        <v>1</v>
      </c>
    </row>
    <row r="18" customFormat="false" ht="34.5" hidden="false" customHeight="true" outlineLevel="0" collapsed="false">
      <c r="A18" s="7" t="s">
        <v>40</v>
      </c>
      <c r="B18" s="7" t="s">
        <v>41</v>
      </c>
      <c r="C18" s="7" t="s">
        <v>15</v>
      </c>
      <c r="D18" s="7" t="s">
        <v>42</v>
      </c>
      <c r="E18" s="7" t="s">
        <v>43</v>
      </c>
      <c r="F18" s="7" t="s">
        <v>18</v>
      </c>
      <c r="G18" s="7" t="s">
        <v>19</v>
      </c>
      <c r="H18" s="1" t="n">
        <v>0</v>
      </c>
      <c r="I18" s="1" t="n">
        <v>4</v>
      </c>
      <c r="K18" s="1" t="n">
        <f aca="false">IFERROR(MAX(0,I18-IF(J18&lt;&gt;"",J18,H18)),"revisar unidad")</f>
        <v>4</v>
      </c>
    </row>
    <row r="19" customFormat="false" ht="34.5" hidden="false" customHeight="true" outlineLevel="0" collapsed="false">
      <c r="A19" s="7" t="s">
        <v>40</v>
      </c>
      <c r="B19" s="7" t="s">
        <v>44</v>
      </c>
      <c r="C19" s="7" t="s">
        <v>15</v>
      </c>
      <c r="D19" s="7" t="s">
        <v>45</v>
      </c>
      <c r="E19" s="7" t="s">
        <v>43</v>
      </c>
      <c r="F19" s="7" t="s">
        <v>18</v>
      </c>
      <c r="G19" s="7" t="s">
        <v>19</v>
      </c>
      <c r="H19" s="1" t="n">
        <v>1</v>
      </c>
      <c r="I19" s="1" t="n">
        <v>1</v>
      </c>
      <c r="K19" s="1" t="n">
        <f aca="false">IFERROR(MAX(0,I19-IF(J19&lt;&gt;"",J19,H19)),"revisar unidad")</f>
        <v>0</v>
      </c>
    </row>
    <row r="20" customFormat="false" ht="34.5" hidden="false" customHeight="true" outlineLevel="0" collapsed="false">
      <c r="A20" s="7" t="s">
        <v>40</v>
      </c>
      <c r="B20" s="7" t="s">
        <v>46</v>
      </c>
      <c r="C20" s="7" t="s">
        <v>15</v>
      </c>
      <c r="D20" s="7" t="s">
        <v>33</v>
      </c>
      <c r="E20" s="7" t="s">
        <v>47</v>
      </c>
      <c r="F20" s="7" t="s">
        <v>18</v>
      </c>
      <c r="G20" s="7" t="s">
        <v>19</v>
      </c>
      <c r="H20" s="1" t="n">
        <v>0</v>
      </c>
      <c r="I20" s="1" t="n">
        <v>1</v>
      </c>
      <c r="K20" s="1" t="n">
        <f aca="false">IFERROR(MAX(0,I20-IF(J20&lt;&gt;"",J20,H20)),"revisar unidad")</f>
        <v>1</v>
      </c>
    </row>
    <row r="21" customFormat="false" ht="34.5" hidden="false" customHeight="true" outlineLevel="0" collapsed="false">
      <c r="A21" s="7" t="s">
        <v>40</v>
      </c>
      <c r="B21" s="7" t="s">
        <v>48</v>
      </c>
      <c r="C21" s="7" t="s">
        <v>15</v>
      </c>
      <c r="D21" s="7" t="s">
        <v>49</v>
      </c>
      <c r="E21" s="8" t="s">
        <v>50</v>
      </c>
      <c r="F21" s="7" t="s">
        <v>18</v>
      </c>
      <c r="G21" s="7" t="s">
        <v>19</v>
      </c>
      <c r="H21" s="1" t="n">
        <v>0</v>
      </c>
      <c r="I21" s="1" t="n">
        <v>2</v>
      </c>
      <c r="K21" s="1" t="n">
        <f aca="false">IFERROR(MAX(0,I21-IF(J21&lt;&gt;"",J21,H21)),"revisar unidad")</f>
        <v>2</v>
      </c>
    </row>
    <row r="22" customFormat="false" ht="34.5" hidden="false" customHeight="true" outlineLevel="0" collapsed="false">
      <c r="A22" s="7" t="s">
        <v>40</v>
      </c>
      <c r="B22" s="7" t="s">
        <v>51</v>
      </c>
      <c r="C22" s="7" t="s">
        <v>15</v>
      </c>
      <c r="D22" s="7" t="s">
        <v>16</v>
      </c>
      <c r="E22" s="8" t="s">
        <v>50</v>
      </c>
      <c r="F22" s="7" t="s">
        <v>18</v>
      </c>
      <c r="G22" s="7" t="s">
        <v>19</v>
      </c>
      <c r="H22" s="1" t="n">
        <v>0</v>
      </c>
      <c r="I22" s="1" t="n">
        <v>1</v>
      </c>
      <c r="K22" s="1" t="n">
        <f aca="false">IFERROR(MAX(0,I22-IF(J22&lt;&gt;"",J22,H22)),"revisar unidad")</f>
        <v>1</v>
      </c>
    </row>
    <row r="23" customFormat="false" ht="34.5" hidden="false" customHeight="true" outlineLevel="0" collapsed="false">
      <c r="A23" s="7" t="s">
        <v>40</v>
      </c>
      <c r="B23" s="7" t="s">
        <v>52</v>
      </c>
      <c r="C23" s="7" t="s">
        <v>15</v>
      </c>
      <c r="D23" s="7" t="s">
        <v>53</v>
      </c>
      <c r="E23" s="8" t="s">
        <v>50</v>
      </c>
      <c r="F23" s="7" t="s">
        <v>18</v>
      </c>
      <c r="G23" s="7" t="s">
        <v>19</v>
      </c>
      <c r="H23" s="1" t="n">
        <v>0</v>
      </c>
      <c r="I23" s="1" t="s">
        <v>54</v>
      </c>
    </row>
    <row r="24" customFormat="false" ht="15.75" hidden="false" customHeight="true" outlineLevel="0" collapsed="false">
      <c r="A24" s="7" t="s">
        <v>55</v>
      </c>
      <c r="B24" s="7" t="s">
        <v>56</v>
      </c>
      <c r="C24" s="7" t="s">
        <v>57</v>
      </c>
      <c r="D24" s="7"/>
      <c r="E24" s="8" t="s">
        <v>58</v>
      </c>
      <c r="F24" s="7" t="s">
        <v>59</v>
      </c>
      <c r="G24" s="7" t="s">
        <v>60</v>
      </c>
      <c r="H24" s="1" t="n">
        <v>8</v>
      </c>
      <c r="I24" s="1" t="n">
        <v>8</v>
      </c>
      <c r="K24" s="1" t="n">
        <f aca="false">IFERROR(MAX(0,I24-IF(J24&lt;&gt;"",J24,H24)),"revisar unidad")</f>
        <v>0</v>
      </c>
    </row>
    <row r="25" customFormat="false" ht="34.5" hidden="false" customHeight="true" outlineLevel="0" collapsed="false">
      <c r="A25" s="7" t="s">
        <v>40</v>
      </c>
      <c r="B25" s="7" t="s">
        <v>61</v>
      </c>
      <c r="C25" s="7" t="s">
        <v>15</v>
      </c>
      <c r="D25" s="7" t="s">
        <v>16</v>
      </c>
      <c r="E25" s="7" t="s">
        <v>62</v>
      </c>
      <c r="F25" s="7" t="s">
        <v>18</v>
      </c>
      <c r="G25" s="7" t="s">
        <v>19</v>
      </c>
      <c r="H25" s="1" t="n">
        <v>0</v>
      </c>
      <c r="I25" s="1" t="n">
        <v>10</v>
      </c>
      <c r="K25" s="1" t="n">
        <f aca="false">IFERROR(MAX(0,I25-IF(J25&lt;&gt;"",J25,H25)),"revisar unidad")</f>
        <v>10</v>
      </c>
    </row>
    <row r="26" customFormat="false" ht="15.75" hidden="false" customHeight="true" outlineLevel="0" collapsed="false">
      <c r="A26" s="7" t="s">
        <v>37</v>
      </c>
      <c r="B26" s="7" t="s">
        <v>63</v>
      </c>
      <c r="C26" s="7" t="s">
        <v>15</v>
      </c>
      <c r="D26" s="7"/>
      <c r="E26" s="7" t="s">
        <v>64</v>
      </c>
      <c r="F26" s="7" t="s">
        <v>18</v>
      </c>
      <c r="G26" s="7" t="s">
        <v>39</v>
      </c>
      <c r="H26" s="1" t="n">
        <v>0</v>
      </c>
      <c r="I26" s="1" t="n">
        <v>1</v>
      </c>
      <c r="K26" s="1" t="n">
        <f aca="false">IFERROR(MAX(0,I26-IF(J26&lt;&gt;"",J26,H26)),"revisar unidad")</f>
        <v>1</v>
      </c>
    </row>
    <row r="27" customFormat="false" ht="15.75" hidden="false" customHeight="true" outlineLevel="0" collapsed="false">
      <c r="A27" s="7" t="s">
        <v>37</v>
      </c>
      <c r="B27" s="7" t="s">
        <v>65</v>
      </c>
      <c r="C27" s="7" t="s">
        <v>15</v>
      </c>
      <c r="D27" s="7"/>
      <c r="E27" s="7" t="s">
        <v>64</v>
      </c>
      <c r="F27" s="7" t="s">
        <v>18</v>
      </c>
      <c r="G27" s="7" t="s">
        <v>39</v>
      </c>
      <c r="H27" s="1" t="n">
        <v>0</v>
      </c>
      <c r="I27" s="1" t="n">
        <v>1</v>
      </c>
      <c r="K27" s="1" t="n">
        <f aca="false">IFERROR(MAX(0,I27-IF(J27&lt;&gt;"",J27,H27)),"revisar unidad")</f>
        <v>1</v>
      </c>
    </row>
    <row r="28" customFormat="false" ht="15.75" hidden="false" customHeight="true" outlineLevel="0" collapsed="false">
      <c r="A28" s="9" t="s">
        <v>66</v>
      </c>
      <c r="B28" s="9" t="s">
        <v>67</v>
      </c>
      <c r="C28" s="9"/>
      <c r="D28" s="9"/>
      <c r="E28" s="9" t="s">
        <v>68</v>
      </c>
      <c r="F28" s="9" t="s">
        <v>18</v>
      </c>
      <c r="G28" s="7" t="s">
        <v>39</v>
      </c>
      <c r="H28" s="1" t="n">
        <v>16</v>
      </c>
      <c r="I28" s="1" t="n">
        <v>90</v>
      </c>
      <c r="K28" s="1" t="n">
        <f aca="false">IFERROR(MAX(0,I28-IF(J28&lt;&gt;"",J28,H28)),"revisar unidad")</f>
        <v>74</v>
      </c>
    </row>
    <row r="29" customFormat="false" ht="15.75" hidden="false" customHeight="true" outlineLevel="0" collapsed="false">
      <c r="A29" s="9" t="s">
        <v>66</v>
      </c>
      <c r="B29" s="9" t="s">
        <v>69</v>
      </c>
      <c r="C29" s="9"/>
      <c r="D29" s="9"/>
      <c r="E29" s="9" t="s">
        <v>24</v>
      </c>
      <c r="F29" s="9" t="s">
        <v>18</v>
      </c>
      <c r="G29" s="7" t="s">
        <v>39</v>
      </c>
      <c r="H29" s="1" t="n">
        <v>55</v>
      </c>
      <c r="I29" s="1" t="n">
        <v>200</v>
      </c>
      <c r="K29" s="1" t="n">
        <f aca="false">IFERROR(MAX(0,I29-IF(J29&lt;&gt;"",J29,H29)),"revisar unidad")</f>
        <v>145</v>
      </c>
    </row>
    <row r="30" customFormat="false" ht="15.75" hidden="false" customHeight="true" outlineLevel="0" collapsed="false">
      <c r="A30" s="9" t="s">
        <v>70</v>
      </c>
      <c r="B30" s="9" t="s">
        <v>71</v>
      </c>
      <c r="C30" s="9"/>
      <c r="D30" s="9"/>
      <c r="E30" s="9" t="s">
        <v>24</v>
      </c>
      <c r="F30" s="9" t="s">
        <v>18</v>
      </c>
      <c r="G30" s="7" t="s">
        <v>39</v>
      </c>
      <c r="H30" s="1" t="s">
        <v>72</v>
      </c>
      <c r="I30" s="1" t="s">
        <v>73</v>
      </c>
    </row>
    <row r="31" customFormat="false" ht="15.75" hidden="false" customHeight="true" outlineLevel="0" collapsed="false">
      <c r="A31" s="9" t="s">
        <v>70</v>
      </c>
      <c r="B31" s="9" t="s">
        <v>74</v>
      </c>
      <c r="C31" s="9"/>
      <c r="D31" s="9"/>
      <c r="E31" s="9" t="s">
        <v>24</v>
      </c>
      <c r="F31" s="9" t="s">
        <v>18</v>
      </c>
      <c r="G31" s="7" t="s">
        <v>39</v>
      </c>
      <c r="H31" s="1" t="n">
        <v>30</v>
      </c>
      <c r="I31" s="1" t="n">
        <v>100</v>
      </c>
      <c r="K31" s="1" t="n">
        <f aca="false">IFERROR(MAX(0,I31-IF(J31&lt;&gt;"",J31,H31)),"revisar unidad")</f>
        <v>70</v>
      </c>
    </row>
    <row r="32" customFormat="false" ht="15.75" hidden="false" customHeight="true" outlineLevel="0" collapsed="false">
      <c r="A32" s="9" t="s">
        <v>70</v>
      </c>
      <c r="B32" s="9" t="s">
        <v>75</v>
      </c>
      <c r="C32" s="9"/>
      <c r="D32" s="9"/>
      <c r="E32" s="9" t="s">
        <v>24</v>
      </c>
      <c r="F32" s="9" t="s">
        <v>18</v>
      </c>
      <c r="G32" s="7" t="s">
        <v>39</v>
      </c>
      <c r="H32" s="1" t="s">
        <v>76</v>
      </c>
      <c r="I32" s="1" t="n">
        <v>200</v>
      </c>
      <c r="K32" s="1" t="str">
        <f aca="false">IFERROR(MAX(0,I32-IF(J32&lt;&gt;"",J32,H32)),"revisar unidad")</f>
        <v>revisar unidad</v>
      </c>
    </row>
    <row r="33" customFormat="false" ht="15.75" hidden="false" customHeight="true" outlineLevel="0" collapsed="false">
      <c r="A33" s="9" t="s">
        <v>70</v>
      </c>
      <c r="B33" s="9" t="s">
        <v>77</v>
      </c>
      <c r="C33" s="9"/>
      <c r="D33" s="9"/>
      <c r="E33" s="9" t="s">
        <v>24</v>
      </c>
      <c r="F33" s="9" t="s">
        <v>18</v>
      </c>
      <c r="G33" s="7" t="s">
        <v>39</v>
      </c>
      <c r="H33" s="1" t="s">
        <v>78</v>
      </c>
      <c r="I33" s="1" t="n">
        <v>100</v>
      </c>
      <c r="K33" s="1" t="str">
        <f aca="false">IFERROR(MAX(0,I33-IF(J33&lt;&gt;"",J33,H33)),"revisar unidad")</f>
        <v>revisar unidad</v>
      </c>
    </row>
    <row r="34" customFormat="false" ht="15.75" hidden="false" customHeight="true" outlineLevel="0" collapsed="false">
      <c r="A34" s="9" t="s">
        <v>70</v>
      </c>
      <c r="B34" s="9" t="s">
        <v>79</v>
      </c>
      <c r="C34" s="9"/>
      <c r="D34" s="9"/>
      <c r="E34" s="9" t="s">
        <v>24</v>
      </c>
      <c r="F34" s="9" t="s">
        <v>18</v>
      </c>
      <c r="G34" s="7" t="s">
        <v>39</v>
      </c>
      <c r="H34" s="1" t="n">
        <v>0</v>
      </c>
      <c r="I34" s="1" t="n">
        <v>100</v>
      </c>
      <c r="K34" s="1" t="n">
        <f aca="false">IFERROR(MAX(0,I34-IF(J34&lt;&gt;"",J34,H34)),"revisar unidad")</f>
        <v>100</v>
      </c>
    </row>
    <row r="35" customFormat="false" ht="15.75" hidden="false" customHeight="true" outlineLevel="0" collapsed="false">
      <c r="A35" s="9" t="s">
        <v>70</v>
      </c>
      <c r="B35" s="9" t="s">
        <v>80</v>
      </c>
      <c r="C35" s="9"/>
      <c r="D35" s="9"/>
      <c r="E35" s="9" t="s">
        <v>24</v>
      </c>
      <c r="F35" s="9" t="s">
        <v>18</v>
      </c>
      <c r="G35" s="7" t="s">
        <v>39</v>
      </c>
      <c r="H35" s="1" t="n">
        <v>0</v>
      </c>
      <c r="I35" s="1" t="n">
        <v>100</v>
      </c>
      <c r="K35" s="1" t="n">
        <f aca="false">IFERROR(MAX(0,I35-IF(J35&lt;&gt;"",J35,H35)),"revisar unidad")</f>
        <v>100</v>
      </c>
    </row>
    <row r="36" customFormat="false" ht="15.75" hidden="false" customHeight="true" outlineLevel="0" collapsed="false">
      <c r="A36" s="9" t="s">
        <v>70</v>
      </c>
      <c r="B36" s="9" t="s">
        <v>81</v>
      </c>
      <c r="C36" s="9"/>
      <c r="D36" s="9"/>
      <c r="E36" s="9" t="s">
        <v>24</v>
      </c>
      <c r="F36" s="9" t="s">
        <v>18</v>
      </c>
      <c r="G36" s="7" t="s">
        <v>39</v>
      </c>
      <c r="H36" s="1" t="n">
        <v>0</v>
      </c>
      <c r="I36" s="1" t="n">
        <v>100</v>
      </c>
      <c r="K36" s="1" t="n">
        <f aca="false">IFERROR(MAX(0,I36-IF(J36&lt;&gt;"",J36,H36)),"revisar unidad")</f>
        <v>100</v>
      </c>
    </row>
    <row r="37" customFormat="false" ht="15.75" hidden="false" customHeight="true" outlineLevel="0" collapsed="false">
      <c r="A37" s="9" t="s">
        <v>70</v>
      </c>
      <c r="B37" s="9" t="s">
        <v>82</v>
      </c>
      <c r="C37" s="9"/>
      <c r="D37" s="9"/>
      <c r="E37" s="9" t="s">
        <v>24</v>
      </c>
      <c r="F37" s="9" t="s">
        <v>18</v>
      </c>
      <c r="G37" s="7" t="s">
        <v>39</v>
      </c>
      <c r="H37" s="1" t="n">
        <v>7</v>
      </c>
      <c r="I37" s="1" t="n">
        <v>100</v>
      </c>
      <c r="K37" s="1" t="n">
        <f aca="false">IFERROR(MAX(0,I37-IF(J37&lt;&gt;"",J37,H37)),"revisar unidad")</f>
        <v>93</v>
      </c>
    </row>
    <row r="38" customFormat="false" ht="15.75" hidden="false" customHeight="true" outlineLevel="0" collapsed="false">
      <c r="A38" s="9" t="s">
        <v>70</v>
      </c>
      <c r="B38" s="9" t="s">
        <v>83</v>
      </c>
      <c r="C38" s="9"/>
      <c r="D38" s="9"/>
      <c r="E38" s="9" t="s">
        <v>24</v>
      </c>
      <c r="F38" s="9" t="s">
        <v>18</v>
      </c>
      <c r="G38" s="7" t="s">
        <v>39</v>
      </c>
      <c r="H38" s="1" t="s">
        <v>84</v>
      </c>
      <c r="I38" s="1" t="n">
        <v>100</v>
      </c>
      <c r="K38" s="1" t="str">
        <f aca="false">IFERROR(MAX(0,I38-IF(J38&lt;&gt;"",J38,H38)),"revisar unidad")</f>
        <v>revisar unidad</v>
      </c>
    </row>
    <row r="39" customFormat="false" ht="15.75" hidden="false" customHeight="true" outlineLevel="0" collapsed="false">
      <c r="A39" s="9" t="s">
        <v>66</v>
      </c>
      <c r="B39" s="9" t="s">
        <v>85</v>
      </c>
      <c r="C39" s="9"/>
      <c r="D39" s="9"/>
      <c r="E39" s="9" t="s">
        <v>62</v>
      </c>
      <c r="F39" s="9" t="s">
        <v>18</v>
      </c>
      <c r="G39" s="7" t="s">
        <v>39</v>
      </c>
      <c r="H39" s="1" t="n">
        <v>4</v>
      </c>
      <c r="I39" s="1" t="n">
        <v>5</v>
      </c>
      <c r="K39" s="1" t="n">
        <f aca="false">IFERROR(MAX(0,I39-IF(J39&lt;&gt;"",J39,H39)),"revisar unidad")</f>
        <v>1</v>
      </c>
    </row>
    <row r="40" customFormat="false" ht="15.75" hidden="false" customHeight="true" outlineLevel="0" collapsed="false">
      <c r="A40" s="9" t="s">
        <v>66</v>
      </c>
      <c r="B40" s="9" t="s">
        <v>86</v>
      </c>
      <c r="C40" s="9"/>
      <c r="D40" s="9"/>
      <c r="E40" s="9" t="s">
        <v>62</v>
      </c>
      <c r="F40" s="9" t="s">
        <v>18</v>
      </c>
      <c r="G40" s="7" t="s">
        <v>39</v>
      </c>
      <c r="H40" s="1" t="n">
        <v>4</v>
      </c>
      <c r="I40" s="1" t="n">
        <v>5</v>
      </c>
      <c r="K40" s="1" t="n">
        <f aca="false">IFERROR(MAX(0,I40-IF(J40&lt;&gt;"",J40,H40)),"revisar unidad")</f>
        <v>1</v>
      </c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>
      <c r="A49" s="4" t="s">
        <v>87</v>
      </c>
      <c r="B49" s="4"/>
      <c r="C49" s="4"/>
      <c r="D49" s="4"/>
      <c r="E49" s="4"/>
      <c r="F49" s="4"/>
      <c r="G49" s="4"/>
      <c r="H49" s="4"/>
    </row>
    <row r="50" customFormat="false" ht="15.75" hidden="false" customHeight="true" outlineLevel="0" collapsed="false">
      <c r="A50" s="5" t="s">
        <v>88</v>
      </c>
      <c r="B50" s="5" t="s">
        <v>89</v>
      </c>
      <c r="C50" s="5"/>
      <c r="D50" s="5"/>
      <c r="E50" s="5"/>
      <c r="F50" s="5"/>
      <c r="G50" s="5" t="s">
        <v>90</v>
      </c>
      <c r="H50" s="5" t="s">
        <v>8</v>
      </c>
    </row>
    <row r="51" customFormat="false" ht="15.75" hidden="false" customHeight="true" outlineLevel="0" collapsed="false">
      <c r="A51" s="7" t="s">
        <v>91</v>
      </c>
      <c r="B51" s="7" t="s">
        <v>92</v>
      </c>
      <c r="C51" s="7"/>
      <c r="D51" s="7"/>
      <c r="E51" s="7"/>
      <c r="F51" s="7"/>
      <c r="G51" s="7"/>
      <c r="H51" s="7" t="s">
        <v>60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</sheetData>
  <autoFilter ref="A5:G27"/>
  <mergeCells count="3">
    <mergeCell ref="A2:K2"/>
    <mergeCell ref="A4:K4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9.71"/>
    <col collapsed="false" customWidth="true" hidden="false" outlineLevel="0" max="3" min="3" style="1" width="26.86"/>
    <col collapsed="false" customWidth="true" hidden="false" outlineLevel="0" max="4" min="4" style="1" width="20.86"/>
    <col collapsed="false" customWidth="true" hidden="false" outlineLevel="0" max="5" min="5" style="1" width="25.14"/>
    <col collapsed="false" customWidth="true" hidden="false" outlineLevel="0" max="6" min="6" style="1" width="13.86"/>
    <col collapsed="false" customWidth="true" hidden="false" outlineLevel="0" max="7" min="7" style="1" width="12.14"/>
    <col collapsed="false" customWidth="true" hidden="false" outlineLevel="0" max="8" min="8" style="1" width="8.14"/>
    <col collapsed="false" customWidth="true" hidden="false" outlineLevel="0" max="9" min="9" style="1" width="14"/>
    <col collapsed="false" customWidth="true" hidden="false" outlineLevel="0" max="27" min="10" style="1" width="10"/>
  </cols>
  <sheetData>
    <row r="1" customFormat="false" ht="15.75" hidden="false" customHeight="true" outlineLevel="0" collapsed="false">
      <c r="A1" s="2"/>
      <c r="B1" s="2" t="s">
        <v>93</v>
      </c>
    </row>
    <row r="2" customFormat="false" ht="15" hidden="false" customHeight="true" outlineLevel="0" collapsed="false">
      <c r="A2" s="10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11"/>
      <c r="B4" s="4" t="s">
        <v>94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34.5" hidden="false" customHeight="true" outlineLevel="0" collapsed="false">
      <c r="A5" s="12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6" t="s">
        <v>9</v>
      </c>
      <c r="J5" s="6" t="s">
        <v>10</v>
      </c>
      <c r="K5" s="6" t="s">
        <v>11</v>
      </c>
      <c r="L5" s="6" t="s">
        <v>12</v>
      </c>
    </row>
    <row r="6" customFormat="false" ht="23.25" hidden="false" customHeight="true" outlineLevel="0" collapsed="false">
      <c r="A6" s="13"/>
      <c r="B6" s="7" t="s">
        <v>95</v>
      </c>
      <c r="C6" s="7" t="s">
        <v>96</v>
      </c>
      <c r="D6" s="7" t="s">
        <v>15</v>
      </c>
      <c r="E6" s="7" t="s">
        <v>97</v>
      </c>
      <c r="F6" s="7" t="s">
        <v>24</v>
      </c>
      <c r="G6" s="7" t="s">
        <v>18</v>
      </c>
      <c r="H6" s="7" t="s">
        <v>19</v>
      </c>
      <c r="I6" s="1" t="n">
        <v>0</v>
      </c>
      <c r="J6" s="1" t="n">
        <v>100</v>
      </c>
      <c r="L6" s="1" t="n">
        <f aca="false">IFERROR(MAX(0,J6-IF(K6&lt;&gt;"",K6,I6)),"revisar unidad")</f>
        <v>100</v>
      </c>
    </row>
    <row r="7" customFormat="false" ht="23.25" hidden="false" customHeight="true" outlineLevel="0" collapsed="false">
      <c r="A7" s="13"/>
      <c r="B7" s="7" t="s">
        <v>95</v>
      </c>
      <c r="C7" s="7" t="s">
        <v>98</v>
      </c>
      <c r="D7" s="7" t="s">
        <v>15</v>
      </c>
      <c r="E7" s="7" t="s">
        <v>97</v>
      </c>
      <c r="F7" s="7" t="s">
        <v>24</v>
      </c>
      <c r="G7" s="7" t="s">
        <v>18</v>
      </c>
      <c r="H7" s="7" t="s">
        <v>19</v>
      </c>
      <c r="I7" s="1" t="n">
        <v>0</v>
      </c>
      <c r="J7" s="1" t="n">
        <v>1</v>
      </c>
      <c r="L7" s="1" t="n">
        <f aca="false">IFERROR(MAX(0,J7-IF(K7&lt;&gt;"",K7,I7)),"revisar unidad")</f>
        <v>1</v>
      </c>
    </row>
    <row r="8" customFormat="false" ht="23.25" hidden="false" customHeight="true" outlineLevel="0" collapsed="false">
      <c r="A8" s="13"/>
      <c r="B8" s="7" t="s">
        <v>95</v>
      </c>
      <c r="C8" s="7" t="s">
        <v>99</v>
      </c>
      <c r="D8" s="7" t="s">
        <v>15</v>
      </c>
      <c r="E8" s="7" t="s">
        <v>100</v>
      </c>
      <c r="F8" s="7" t="s">
        <v>24</v>
      </c>
      <c r="G8" s="7" t="s">
        <v>18</v>
      </c>
      <c r="H8" s="7" t="s">
        <v>19</v>
      </c>
      <c r="I8" s="1" t="n">
        <v>0</v>
      </c>
      <c r="J8" s="1" t="n">
        <v>100</v>
      </c>
      <c r="L8" s="1" t="n">
        <f aca="false">IFERROR(MAX(0,J8-IF(K8&lt;&gt;"",K8,I8)),"revisar unidad")</f>
        <v>100</v>
      </c>
    </row>
    <row r="9" customFormat="false" ht="23.25" hidden="false" customHeight="true" outlineLevel="0" collapsed="false">
      <c r="A9" s="13"/>
      <c r="B9" s="7" t="s">
        <v>101</v>
      </c>
      <c r="C9" s="7" t="s">
        <v>102</v>
      </c>
      <c r="D9" s="7" t="s">
        <v>15</v>
      </c>
      <c r="E9" s="7"/>
      <c r="F9" s="7" t="s">
        <v>24</v>
      </c>
      <c r="G9" s="7" t="s">
        <v>18</v>
      </c>
      <c r="H9" s="7" t="s">
        <v>19</v>
      </c>
      <c r="I9" s="1" t="n">
        <v>0</v>
      </c>
      <c r="J9" s="1" t="n">
        <v>1</v>
      </c>
      <c r="L9" s="1" t="n">
        <f aca="false">IFERROR(MAX(0,J9-IF(K9&lt;&gt;"",K9,I9)),"revisar unidad")</f>
        <v>1</v>
      </c>
    </row>
    <row r="10" customFormat="false" ht="15.75" hidden="false" customHeight="true" outlineLevel="0" collapsed="false">
      <c r="A10" s="13"/>
      <c r="B10" s="7" t="s">
        <v>40</v>
      </c>
      <c r="C10" s="7" t="s">
        <v>103</v>
      </c>
      <c r="D10" s="7" t="s">
        <v>15</v>
      </c>
      <c r="E10" s="7" t="s">
        <v>16</v>
      </c>
      <c r="F10" s="7" t="s">
        <v>24</v>
      </c>
      <c r="G10" s="7" t="s">
        <v>18</v>
      </c>
      <c r="H10" s="7" t="s">
        <v>19</v>
      </c>
      <c r="I10" s="1" t="n">
        <v>0</v>
      </c>
      <c r="J10" s="1" t="n">
        <v>1</v>
      </c>
      <c r="L10" s="1" t="n">
        <f aca="false">IFERROR(MAX(0,J10-IF(K10&lt;&gt;"",K10,I10)),"revisar unidad")</f>
        <v>1</v>
      </c>
    </row>
    <row r="11" customFormat="false" ht="23.25" hidden="false" customHeight="true" outlineLevel="0" collapsed="false">
      <c r="A11" s="13"/>
      <c r="B11" s="7" t="s">
        <v>101</v>
      </c>
      <c r="C11" s="7" t="s">
        <v>104</v>
      </c>
      <c r="D11" s="7" t="s">
        <v>15</v>
      </c>
      <c r="E11" s="7"/>
      <c r="F11" s="7" t="s">
        <v>24</v>
      </c>
      <c r="G11" s="7" t="s">
        <v>18</v>
      </c>
      <c r="H11" s="7" t="s">
        <v>19</v>
      </c>
      <c r="I11" s="1" t="n">
        <v>0</v>
      </c>
      <c r="J11" s="1" t="n">
        <v>1</v>
      </c>
      <c r="L11" s="1" t="n">
        <f aca="false">IFERROR(MAX(0,J11-IF(K11&lt;&gt;"",K11,I11)),"revisar unidad")</f>
        <v>1</v>
      </c>
    </row>
    <row r="12" customFormat="false" ht="45.75" hidden="false" customHeight="true" outlineLevel="0" collapsed="false">
      <c r="A12" s="13"/>
      <c r="B12" s="7" t="s">
        <v>30</v>
      </c>
      <c r="C12" s="7" t="s">
        <v>105</v>
      </c>
      <c r="D12" s="7" t="s">
        <v>15</v>
      </c>
      <c r="E12" s="7" t="s">
        <v>106</v>
      </c>
      <c r="F12" s="7" t="s">
        <v>24</v>
      </c>
      <c r="G12" s="7" t="s">
        <v>18</v>
      </c>
      <c r="H12" s="7" t="s">
        <v>34</v>
      </c>
      <c r="I12" s="1" t="n">
        <v>0</v>
      </c>
      <c r="J12" s="1" t="n">
        <v>1</v>
      </c>
      <c r="L12" s="1" t="n">
        <f aca="false">IFERROR(MAX(0,J12-IF(K12&lt;&gt;"",K12,I12)),"revisar unidad")</f>
        <v>1</v>
      </c>
    </row>
    <row r="13" customFormat="false" ht="45.75" hidden="false" customHeight="true" outlineLevel="0" collapsed="false">
      <c r="A13" s="13"/>
      <c r="B13" s="7" t="s">
        <v>30</v>
      </c>
      <c r="C13" s="7" t="s">
        <v>107</v>
      </c>
      <c r="D13" s="7" t="s">
        <v>15</v>
      </c>
      <c r="E13" s="7" t="s">
        <v>108</v>
      </c>
      <c r="F13" s="7" t="s">
        <v>24</v>
      </c>
      <c r="G13" s="7" t="s">
        <v>18</v>
      </c>
      <c r="H13" s="7" t="s">
        <v>34</v>
      </c>
      <c r="I13" s="1" t="n">
        <v>0</v>
      </c>
      <c r="J13" s="1" t="n">
        <v>1</v>
      </c>
      <c r="L13" s="1" t="n">
        <f aca="false">IFERROR(MAX(0,J13-IF(K13&lt;&gt;"",K13,I13)),"revisar unidad")</f>
        <v>1</v>
      </c>
    </row>
    <row r="14" customFormat="false" ht="45.75" hidden="false" customHeight="true" outlineLevel="0" collapsed="false">
      <c r="A14" s="13"/>
      <c r="B14" s="7" t="s">
        <v>30</v>
      </c>
      <c r="C14" s="7" t="s">
        <v>109</v>
      </c>
      <c r="D14" s="7" t="s">
        <v>15</v>
      </c>
      <c r="E14" s="7" t="s">
        <v>110</v>
      </c>
      <c r="F14" s="7" t="s">
        <v>24</v>
      </c>
      <c r="G14" s="7" t="s">
        <v>18</v>
      </c>
      <c r="H14" s="7" t="s">
        <v>34</v>
      </c>
      <c r="I14" s="1" t="n">
        <v>0</v>
      </c>
      <c r="J14" s="1" t="n">
        <v>50</v>
      </c>
      <c r="L14" s="1" t="n">
        <f aca="false">IFERROR(MAX(0,J14-IF(K14&lt;&gt;"",K14,I14)),"revisar unidad")</f>
        <v>50</v>
      </c>
    </row>
    <row r="15" customFormat="false" ht="23.25" hidden="false" customHeight="true" outlineLevel="0" collapsed="false">
      <c r="A15" s="13"/>
      <c r="B15" s="7" t="s">
        <v>70</v>
      </c>
      <c r="C15" s="7" t="s">
        <v>111</v>
      </c>
      <c r="D15" s="7" t="s">
        <v>15</v>
      </c>
      <c r="E15" s="7" t="s">
        <v>112</v>
      </c>
      <c r="F15" s="7" t="s">
        <v>24</v>
      </c>
      <c r="G15" s="7" t="s">
        <v>18</v>
      </c>
      <c r="H15" s="7" t="s">
        <v>39</v>
      </c>
      <c r="I15" s="1" t="n">
        <v>0</v>
      </c>
      <c r="J15" s="1" t="n">
        <v>7</v>
      </c>
      <c r="L15" s="1" t="n">
        <f aca="false">IFERROR(MAX(0,J15-IF(K15&lt;&gt;"",K15,I15)),"revisar unidad")</f>
        <v>7</v>
      </c>
    </row>
    <row r="16" customFormat="false" ht="23.25" hidden="false" customHeight="true" outlineLevel="0" collapsed="false">
      <c r="A16" s="13"/>
      <c r="B16" s="7" t="s">
        <v>70</v>
      </c>
      <c r="C16" s="7" t="s">
        <v>113</v>
      </c>
      <c r="D16" s="7" t="s">
        <v>15</v>
      </c>
      <c r="E16" s="7"/>
      <c r="F16" s="7" t="s">
        <v>24</v>
      </c>
      <c r="G16" s="7" t="s">
        <v>18</v>
      </c>
      <c r="H16" s="7" t="s">
        <v>39</v>
      </c>
      <c r="I16" s="1" t="n">
        <v>0</v>
      </c>
      <c r="J16" s="1" t="n">
        <v>2</v>
      </c>
      <c r="L16" s="1" t="n">
        <f aca="false">IFERROR(MAX(0,J16-IF(K16&lt;&gt;"",K16,I16)),"revisar unidad")</f>
        <v>2</v>
      </c>
    </row>
    <row r="17" customFormat="false" ht="23.25" hidden="false" customHeight="true" outlineLevel="0" collapsed="false">
      <c r="A17" s="13"/>
      <c r="B17" s="7" t="s">
        <v>70</v>
      </c>
      <c r="C17" s="7" t="s">
        <v>114</v>
      </c>
      <c r="D17" s="7" t="s">
        <v>15</v>
      </c>
      <c r="E17" s="7"/>
      <c r="F17" s="8" t="s">
        <v>50</v>
      </c>
      <c r="G17" s="7" t="s">
        <v>18</v>
      </c>
      <c r="H17" s="7" t="s">
        <v>39</v>
      </c>
      <c r="I17" s="1" t="n">
        <v>0</v>
      </c>
      <c r="J17" s="1" t="n">
        <v>50</v>
      </c>
      <c r="L17" s="1" t="n">
        <f aca="false">IFERROR(MAX(0,J17-IF(K17&lt;&gt;"",K17,I17)),"revisar unidad")</f>
        <v>50</v>
      </c>
    </row>
    <row r="18" customFormat="false" ht="23.25" hidden="false" customHeight="true" outlineLevel="0" collapsed="false">
      <c r="A18" s="13"/>
      <c r="B18" s="7" t="s">
        <v>70</v>
      </c>
      <c r="C18" s="7" t="s">
        <v>115</v>
      </c>
      <c r="D18" s="7" t="s">
        <v>15</v>
      </c>
      <c r="E18" s="7"/>
      <c r="F18" s="8" t="s">
        <v>50</v>
      </c>
      <c r="G18" s="7" t="s">
        <v>18</v>
      </c>
      <c r="H18" s="7" t="s">
        <v>39</v>
      </c>
      <c r="I18" s="1" t="n">
        <v>0</v>
      </c>
      <c r="J18" s="1" t="n">
        <v>50</v>
      </c>
      <c r="L18" s="1" t="n">
        <f aca="false">IFERROR(MAX(0,J18-IF(K18&lt;&gt;"",K18,I18)),"revisar unidad")</f>
        <v>50</v>
      </c>
    </row>
    <row r="19" customFormat="false" ht="23.25" hidden="false" customHeight="true" outlineLevel="0" collapsed="false">
      <c r="A19" s="13"/>
      <c r="B19" s="7" t="s">
        <v>95</v>
      </c>
      <c r="C19" s="7" t="s">
        <v>116</v>
      </c>
      <c r="D19" s="7" t="s">
        <v>15</v>
      </c>
      <c r="E19" s="7" t="s">
        <v>117</v>
      </c>
      <c r="F19" s="8" t="s">
        <v>50</v>
      </c>
      <c r="G19" s="7" t="s">
        <v>18</v>
      </c>
      <c r="H19" s="7" t="s">
        <v>19</v>
      </c>
      <c r="I19" s="1" t="n">
        <v>0</v>
      </c>
      <c r="J19" s="1" t="n">
        <v>1</v>
      </c>
      <c r="L19" s="1" t="n">
        <f aca="false">IFERROR(MAX(0,J19-IF(K19&lt;&gt;"",K19,I19)),"revisar unidad")</f>
        <v>1</v>
      </c>
    </row>
    <row r="20" customFormat="false" ht="23.25" hidden="false" customHeight="true" outlineLevel="0" collapsed="false">
      <c r="A20" s="13"/>
      <c r="B20" s="7" t="s">
        <v>70</v>
      </c>
      <c r="C20" s="7" t="s">
        <v>118</v>
      </c>
      <c r="D20" s="7" t="s">
        <v>15</v>
      </c>
      <c r="E20" s="7"/>
      <c r="F20" s="8" t="s">
        <v>50</v>
      </c>
      <c r="G20" s="7"/>
      <c r="H20" s="7" t="s">
        <v>39</v>
      </c>
      <c r="I20" s="1" t="n">
        <v>0</v>
      </c>
      <c r="J20" s="1" t="n">
        <v>2</v>
      </c>
      <c r="L20" s="1" t="n">
        <f aca="false">IFERROR(MAX(0,J20-IF(K20&lt;&gt;"",K20,I20)),"revisar unidad")</f>
        <v>2</v>
      </c>
    </row>
    <row r="21" customFormat="false" ht="23.25" hidden="false" customHeight="true" outlineLevel="0" collapsed="false">
      <c r="A21" s="13"/>
      <c r="B21" s="7" t="s">
        <v>70</v>
      </c>
      <c r="C21" s="7" t="s">
        <v>119</v>
      </c>
      <c r="D21" s="7" t="s">
        <v>15</v>
      </c>
      <c r="E21" s="7"/>
      <c r="F21" s="7" t="s">
        <v>62</v>
      </c>
      <c r="G21" s="7" t="s">
        <v>18</v>
      </c>
      <c r="H21" s="7" t="s">
        <v>39</v>
      </c>
      <c r="I21" s="1" t="n">
        <v>0</v>
      </c>
      <c r="J21" s="1" t="n">
        <v>200</v>
      </c>
      <c r="L21" s="1" t="n">
        <f aca="false">IFERROR(MAX(0,J21-IF(K21&lt;&gt;"",K21,I21)),"revisar unidad")</f>
        <v>200</v>
      </c>
    </row>
    <row r="22" customFormat="false" ht="15.75" hidden="false" customHeight="true" outlineLevel="0" collapsed="false">
      <c r="A22" s="13"/>
      <c r="B22" s="7" t="s">
        <v>70</v>
      </c>
      <c r="C22" s="7" t="s">
        <v>120</v>
      </c>
      <c r="D22" s="7" t="s">
        <v>15</v>
      </c>
      <c r="E22" s="7"/>
      <c r="F22" s="7" t="s">
        <v>43</v>
      </c>
      <c r="G22" s="7" t="s">
        <v>18</v>
      </c>
      <c r="H22" s="7" t="s">
        <v>39</v>
      </c>
      <c r="I22" s="1" t="n">
        <v>0</v>
      </c>
      <c r="J22" s="1" t="n">
        <v>10</v>
      </c>
      <c r="L22" s="1" t="n">
        <f aca="false">IFERROR(MAX(0,J22-IF(K22&lt;&gt;"",K22,I22)),"revisar unidad")</f>
        <v>10</v>
      </c>
    </row>
    <row r="23" customFormat="false" ht="15.75" hidden="false" customHeight="true" outlineLevel="0" collapsed="false"/>
    <row r="24" customFormat="false" ht="15.75" hidden="false" customHeight="true" outlineLevel="0" collapsed="false">
      <c r="A24" s="11"/>
      <c r="B24" s="4" t="s">
        <v>121</v>
      </c>
      <c r="C24" s="4"/>
      <c r="D24" s="4"/>
      <c r="E24" s="4"/>
      <c r="F24" s="4"/>
      <c r="G24" s="4"/>
      <c r="H24" s="4"/>
      <c r="I24" s="4"/>
    </row>
    <row r="25" customFormat="false" ht="15.75" hidden="false" customHeight="true" outlineLevel="0" collapsed="false">
      <c r="A25" s="12"/>
      <c r="B25" s="5" t="s">
        <v>88</v>
      </c>
      <c r="C25" s="5" t="s">
        <v>89</v>
      </c>
      <c r="D25" s="5"/>
      <c r="E25" s="5"/>
      <c r="F25" s="5"/>
      <c r="G25" s="5"/>
      <c r="H25" s="5" t="s">
        <v>90</v>
      </c>
      <c r="I25" s="5" t="s">
        <v>8</v>
      </c>
    </row>
    <row r="26" customFormat="false" ht="15.75" hidden="false" customHeight="true" outlineLevel="0" collapsed="false">
      <c r="A26" s="13"/>
      <c r="B26" s="7" t="s">
        <v>122</v>
      </c>
      <c r="C26" s="7" t="s">
        <v>123</v>
      </c>
      <c r="D26" s="7"/>
      <c r="E26" s="7"/>
      <c r="F26" s="7"/>
      <c r="G26" s="7"/>
      <c r="H26" s="7"/>
      <c r="I26" s="7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B5:H22"/>
  <mergeCells count="3">
    <mergeCell ref="B2:L2"/>
    <mergeCell ref="B4:L4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296875" defaultRowHeight="15" zeroHeight="false" outlineLevelRow="0" outlineLevelCol="0"/>
  <cols>
    <col collapsed="false" customWidth="true" hidden="false" outlineLevel="0" max="26" min="1" style="1" width="16.14"/>
  </cols>
  <sheetData>
    <row r="1" customFormat="false" ht="15" hidden="false" customHeight="true" outlineLevel="0" collapsed="false">
      <c r="A1" s="14" t="s">
        <v>124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5" hidden="false" customHeight="tru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15" hidden="false" customHeight="tru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customFormat="false" ht="15" hidden="false" customHeight="true" outlineLevel="0" collapsed="false">
      <c r="A4" s="17" t="s">
        <v>125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customFormat="false" ht="34.5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  <c r="I5" s="6" t="s">
        <v>10</v>
      </c>
      <c r="J5" s="6" t="s">
        <v>11</v>
      </c>
      <c r="K5" s="6" t="s">
        <v>12</v>
      </c>
    </row>
    <row r="6" customFormat="false" ht="45.75" hidden="false" customHeight="true" outlineLevel="0" collapsed="false">
      <c r="A6" s="7" t="s">
        <v>30</v>
      </c>
      <c r="B6" s="7" t="s">
        <v>126</v>
      </c>
      <c r="C6" s="7" t="s">
        <v>32</v>
      </c>
      <c r="D6" s="7" t="s">
        <v>127</v>
      </c>
      <c r="E6" s="7" t="s">
        <v>24</v>
      </c>
      <c r="F6" s="7" t="s">
        <v>18</v>
      </c>
      <c r="G6" s="7" t="s">
        <v>34</v>
      </c>
      <c r="H6" s="15" t="n">
        <v>0</v>
      </c>
      <c r="I6" s="15" t="n">
        <v>1</v>
      </c>
      <c r="J6" s="15"/>
      <c r="K6" s="15" t="n">
        <f aca="false">IFERROR(MAX(0,I6-IF(J6&lt;&gt;"",J6,H6)),"revisar unidad")</f>
        <v>1</v>
      </c>
    </row>
    <row r="7" customFormat="false" ht="23.25" hidden="false" customHeight="true" outlineLevel="0" collapsed="false">
      <c r="A7" s="7" t="s">
        <v>128</v>
      </c>
      <c r="B7" s="7" t="s">
        <v>129</v>
      </c>
      <c r="C7" s="7" t="s">
        <v>15</v>
      </c>
      <c r="D7" s="7"/>
      <c r="E7" s="7" t="s">
        <v>24</v>
      </c>
      <c r="F7" s="7" t="s">
        <v>18</v>
      </c>
      <c r="G7" s="7" t="s">
        <v>130</v>
      </c>
      <c r="H7" s="15" t="n">
        <v>150</v>
      </c>
      <c r="I7" s="15" t="n">
        <v>200</v>
      </c>
      <c r="J7" s="15"/>
      <c r="K7" s="15" t="n">
        <f aca="false">IFERROR(MAX(0,I7-IF(J7&lt;&gt;"",J7,H7)),"revisar unidad")</f>
        <v>50</v>
      </c>
    </row>
    <row r="8" customFormat="false" ht="23.25" hidden="false" customHeight="true" outlineLevel="0" collapsed="false">
      <c r="A8" s="7" t="s">
        <v>128</v>
      </c>
      <c r="B8" s="7" t="s">
        <v>131</v>
      </c>
      <c r="C8" s="7" t="s">
        <v>15</v>
      </c>
      <c r="D8" s="7"/>
      <c r="E8" s="7" t="s">
        <v>24</v>
      </c>
      <c r="F8" s="7" t="s">
        <v>18</v>
      </c>
      <c r="G8" s="7" t="s">
        <v>130</v>
      </c>
      <c r="H8" s="15" t="n">
        <v>48</v>
      </c>
      <c r="I8" s="15" t="n">
        <v>52</v>
      </c>
      <c r="J8" s="15"/>
      <c r="K8" s="15" t="n">
        <f aca="false">IFERROR(MAX(0,I8-IF(J8&lt;&gt;"",J8,H8)),"revisar unidad")</f>
        <v>4</v>
      </c>
    </row>
    <row r="9" customFormat="false" ht="23.25" hidden="false" customHeight="true" outlineLevel="0" collapsed="false">
      <c r="A9" s="7" t="s">
        <v>128</v>
      </c>
      <c r="B9" s="7" t="s">
        <v>132</v>
      </c>
      <c r="C9" s="7" t="s">
        <v>15</v>
      </c>
      <c r="D9" s="7"/>
      <c r="E9" s="7" t="s">
        <v>24</v>
      </c>
      <c r="F9" s="7" t="s">
        <v>18</v>
      </c>
      <c r="G9" s="7" t="s">
        <v>130</v>
      </c>
      <c r="H9" s="15" t="n">
        <v>20</v>
      </c>
      <c r="I9" s="15" t="n">
        <v>30</v>
      </c>
      <c r="J9" s="15"/>
      <c r="K9" s="15" t="n">
        <f aca="false">IFERROR(MAX(0,I9-IF(J9&lt;&gt;"",J9,H9)),"revisar unidad")</f>
        <v>10</v>
      </c>
    </row>
    <row r="10" customFormat="false" ht="23.25" hidden="false" customHeight="true" outlineLevel="0" collapsed="false">
      <c r="A10" s="7" t="s">
        <v>128</v>
      </c>
      <c r="B10" s="7" t="s">
        <v>133</v>
      </c>
      <c r="C10" s="7" t="s">
        <v>15</v>
      </c>
      <c r="D10" s="7"/>
      <c r="E10" s="7" t="s">
        <v>62</v>
      </c>
      <c r="F10" s="7" t="s">
        <v>18</v>
      </c>
      <c r="G10" s="7" t="s">
        <v>130</v>
      </c>
      <c r="H10" s="15" t="n">
        <v>1</v>
      </c>
      <c r="I10" s="15" t="s">
        <v>134</v>
      </c>
      <c r="J10" s="15"/>
      <c r="K10" s="15"/>
    </row>
    <row r="11" customFormat="false" ht="15.75" hidden="false" customHeight="true" outlineLevel="0" collapsed="false">
      <c r="A11" s="7" t="s">
        <v>135</v>
      </c>
      <c r="B11" s="7" t="s">
        <v>136</v>
      </c>
      <c r="C11" s="7" t="s">
        <v>57</v>
      </c>
      <c r="D11" s="7"/>
      <c r="E11" s="18" t="s">
        <v>62</v>
      </c>
      <c r="F11" s="7" t="s">
        <v>18</v>
      </c>
      <c r="G11" s="7" t="s">
        <v>19</v>
      </c>
      <c r="H11" s="15" t="s">
        <v>137</v>
      </c>
      <c r="I11" s="15" t="s">
        <v>137</v>
      </c>
      <c r="J11" s="15"/>
      <c r="K11" s="15"/>
    </row>
    <row r="12" customFormat="false" ht="15.75" hidden="false" customHeight="true" outlineLevel="0" collapsed="false">
      <c r="A12" s="7" t="s">
        <v>135</v>
      </c>
      <c r="B12" s="7" t="s">
        <v>138</v>
      </c>
      <c r="C12" s="7" t="s">
        <v>57</v>
      </c>
      <c r="D12" s="7" t="s">
        <v>139</v>
      </c>
      <c r="E12" s="18"/>
      <c r="F12" s="7"/>
      <c r="G12" s="7" t="s">
        <v>19</v>
      </c>
      <c r="H12" s="15" t="s">
        <v>137</v>
      </c>
      <c r="I12" s="15" t="s">
        <v>137</v>
      </c>
      <c r="J12" s="15"/>
      <c r="K12" s="15"/>
    </row>
    <row r="13" customFormat="false" ht="15.75" hidden="false" customHeight="true" outlineLevel="0" collapsed="false">
      <c r="A13" s="7" t="s">
        <v>135</v>
      </c>
      <c r="B13" s="7" t="s">
        <v>140</v>
      </c>
      <c r="C13" s="7" t="s">
        <v>57</v>
      </c>
      <c r="D13" s="7"/>
      <c r="E13" s="18"/>
      <c r="F13" s="7"/>
      <c r="G13" s="7" t="s">
        <v>19</v>
      </c>
      <c r="H13" s="15" t="s">
        <v>137</v>
      </c>
      <c r="I13" s="15" t="s">
        <v>137</v>
      </c>
      <c r="J13" s="15"/>
      <c r="K13" s="15"/>
    </row>
    <row r="14" customFormat="false" ht="23.25" hidden="false" customHeight="true" outlineLevel="0" collapsed="false">
      <c r="A14" s="7" t="s">
        <v>128</v>
      </c>
      <c r="B14" s="7" t="s">
        <v>141</v>
      </c>
      <c r="C14" s="7" t="s">
        <v>15</v>
      </c>
      <c r="D14" s="7" t="s">
        <v>142</v>
      </c>
      <c r="E14" s="7" t="s">
        <v>43</v>
      </c>
      <c r="F14" s="7" t="s">
        <v>18</v>
      </c>
      <c r="G14" s="7" t="s">
        <v>130</v>
      </c>
      <c r="H14" s="15" t="n">
        <v>1</v>
      </c>
      <c r="I14" s="15" t="n">
        <v>2</v>
      </c>
      <c r="J14" s="15"/>
      <c r="K14" s="15" t="n">
        <f aca="false">IFERROR(MAX(0,I14-IF(J14&lt;&gt;"",J14,H14)),"revisar unidad")</f>
        <v>1</v>
      </c>
    </row>
    <row r="15" customFormat="false" ht="34.5" hidden="false" customHeight="true" outlineLevel="0" collapsed="false">
      <c r="A15" s="7" t="s">
        <v>128</v>
      </c>
      <c r="B15" s="7" t="s">
        <v>143</v>
      </c>
      <c r="C15" s="7" t="s">
        <v>15</v>
      </c>
      <c r="D15" s="7" t="s">
        <v>144</v>
      </c>
      <c r="E15" s="8" t="s">
        <v>50</v>
      </c>
      <c r="F15" s="7" t="s">
        <v>18</v>
      </c>
      <c r="G15" s="7" t="s">
        <v>130</v>
      </c>
      <c r="H15" s="15" t="n">
        <v>24</v>
      </c>
      <c r="I15" s="15" t="n">
        <v>30</v>
      </c>
      <c r="J15" s="15"/>
      <c r="K15" s="15" t="n">
        <f aca="false">IFERROR(MAX(0,I15-IF(J15&lt;&gt;"",J15,H15)),"revisar unidad")</f>
        <v>6</v>
      </c>
    </row>
    <row r="16" customFormat="false" ht="34.5" hidden="false" customHeight="true" outlineLevel="0" collapsed="false">
      <c r="A16" s="7" t="s">
        <v>128</v>
      </c>
      <c r="B16" s="7" t="s">
        <v>145</v>
      </c>
      <c r="C16" s="7" t="s">
        <v>15</v>
      </c>
      <c r="D16" s="7" t="s">
        <v>146</v>
      </c>
      <c r="E16" s="8" t="s">
        <v>50</v>
      </c>
      <c r="F16" s="7" t="s">
        <v>18</v>
      </c>
      <c r="G16" s="7" t="s">
        <v>130</v>
      </c>
      <c r="H16" s="15" t="n">
        <v>2</v>
      </c>
      <c r="I16" s="15" t="n">
        <v>4</v>
      </c>
      <c r="J16" s="15"/>
      <c r="K16" s="15" t="n">
        <f aca="false">IFERROR(MAX(0,I16-IF(J16&lt;&gt;"",J16,H16)),"revisar unidad")</f>
        <v>2</v>
      </c>
    </row>
    <row r="17" customFormat="false" ht="23.25" hidden="false" customHeight="true" outlineLevel="0" collapsed="false">
      <c r="A17" s="7" t="s">
        <v>128</v>
      </c>
      <c r="B17" s="7" t="s">
        <v>147</v>
      </c>
      <c r="C17" s="7" t="s">
        <v>15</v>
      </c>
      <c r="D17" s="7"/>
      <c r="E17" s="8" t="s">
        <v>50</v>
      </c>
      <c r="F17" s="7" t="s">
        <v>18</v>
      </c>
      <c r="G17" s="7" t="s">
        <v>130</v>
      </c>
      <c r="H17" s="15" t="n">
        <v>1</v>
      </c>
      <c r="I17" s="15" t="n">
        <v>2</v>
      </c>
      <c r="J17" s="15"/>
      <c r="K17" s="15" t="n">
        <f aca="false">IFERROR(MAX(0,I17-IF(J17&lt;&gt;"",J17,H17)),"revisar unidad")</f>
        <v>1</v>
      </c>
    </row>
    <row r="18" customFormat="false" ht="45.75" hidden="false" customHeight="true" outlineLevel="0" collapsed="false">
      <c r="A18" s="7" t="s">
        <v>148</v>
      </c>
      <c r="B18" s="7" t="s">
        <v>149</v>
      </c>
      <c r="C18" s="7" t="s">
        <v>15</v>
      </c>
      <c r="D18" s="7" t="s">
        <v>150</v>
      </c>
      <c r="E18" s="19" t="s">
        <v>151</v>
      </c>
      <c r="F18" s="7" t="s">
        <v>18</v>
      </c>
      <c r="G18" s="7" t="s">
        <v>19</v>
      </c>
      <c r="H18" s="15" t="n">
        <v>0</v>
      </c>
      <c r="I18" s="15" t="n">
        <v>1</v>
      </c>
      <c r="J18" s="15"/>
      <c r="K18" s="15" t="n">
        <f aca="false">IFERROR(MAX(0,I18-IF(J18&lt;&gt;"",J18,H18)),"revisar unidad")</f>
        <v>1</v>
      </c>
    </row>
    <row r="19" customFormat="false" ht="34.5" hidden="false" customHeight="true" outlineLevel="0" collapsed="false">
      <c r="A19" s="7" t="s">
        <v>148</v>
      </c>
      <c r="B19" s="7" t="s">
        <v>152</v>
      </c>
      <c r="C19" s="7" t="s">
        <v>15</v>
      </c>
      <c r="D19" s="7" t="s">
        <v>153</v>
      </c>
      <c r="E19" s="19" t="s">
        <v>151</v>
      </c>
      <c r="F19" s="7" t="s">
        <v>18</v>
      </c>
      <c r="G19" s="7" t="s">
        <v>19</v>
      </c>
      <c r="H19" s="15" t="n">
        <v>100</v>
      </c>
      <c r="I19" s="15" t="s">
        <v>154</v>
      </c>
      <c r="J19" s="15"/>
      <c r="K19" s="15"/>
    </row>
    <row r="20" customFormat="false" ht="23.25" hidden="false" customHeight="true" outlineLevel="0" collapsed="false">
      <c r="A20" s="7" t="s">
        <v>155</v>
      </c>
      <c r="B20" s="7" t="s">
        <v>156</v>
      </c>
      <c r="C20" s="7" t="s">
        <v>15</v>
      </c>
      <c r="D20" s="7"/>
      <c r="E20" s="19" t="s">
        <v>151</v>
      </c>
      <c r="F20" s="7" t="s">
        <v>18</v>
      </c>
      <c r="G20" s="7" t="s">
        <v>19</v>
      </c>
      <c r="H20" s="15" t="n">
        <v>0</v>
      </c>
      <c r="I20" s="15" t="n">
        <v>2</v>
      </c>
      <c r="J20" s="15"/>
      <c r="K20" s="15" t="n">
        <f aca="false">IFERROR(MAX(0,I20-IF(J20&lt;&gt;"",J20,H20)),"revisar unidad")</f>
        <v>2</v>
      </c>
    </row>
    <row r="21" customFormat="false" ht="23.25" hidden="false" customHeight="true" outlineLevel="0" collapsed="false">
      <c r="A21" s="7" t="s">
        <v>155</v>
      </c>
      <c r="B21" s="7" t="s">
        <v>157</v>
      </c>
      <c r="C21" s="7" t="s">
        <v>15</v>
      </c>
      <c r="D21" s="7"/>
      <c r="E21" s="19" t="s">
        <v>151</v>
      </c>
      <c r="F21" s="7" t="s">
        <v>18</v>
      </c>
      <c r="G21" s="7" t="s">
        <v>19</v>
      </c>
      <c r="H21" s="15" t="n">
        <v>0</v>
      </c>
      <c r="I21" s="15" t="n">
        <v>2</v>
      </c>
      <c r="J21" s="15"/>
      <c r="K21" s="15" t="n">
        <f aca="false">IFERROR(MAX(0,I21-IF(J21&lt;&gt;"",J21,H21)),"revisar unidad")</f>
        <v>2</v>
      </c>
    </row>
    <row r="22" customFormat="false" ht="23.25" hidden="false" customHeight="true" outlineLevel="0" collapsed="false">
      <c r="A22" s="7" t="s">
        <v>155</v>
      </c>
      <c r="B22" s="7" t="s">
        <v>158</v>
      </c>
      <c r="C22" s="7" t="s">
        <v>15</v>
      </c>
      <c r="D22" s="7"/>
      <c r="E22" s="19" t="s">
        <v>151</v>
      </c>
      <c r="F22" s="7" t="s">
        <v>18</v>
      </c>
      <c r="G22" s="7" t="s">
        <v>19</v>
      </c>
      <c r="H22" s="15" t="n">
        <v>0</v>
      </c>
      <c r="I22" s="15" t="n">
        <v>4</v>
      </c>
      <c r="J22" s="15"/>
      <c r="K22" s="15" t="n">
        <f aca="false">IFERROR(MAX(0,I22-IF(J22&lt;&gt;"",J22,H22)),"revisar unidad")</f>
        <v>4</v>
      </c>
    </row>
    <row r="23" customFormat="false" ht="23.25" hidden="false" customHeight="true" outlineLevel="0" collapsed="false">
      <c r="A23" s="7" t="s">
        <v>155</v>
      </c>
      <c r="B23" s="7" t="s">
        <v>159</v>
      </c>
      <c r="C23" s="7" t="s">
        <v>15</v>
      </c>
      <c r="D23" s="7"/>
      <c r="E23" s="19" t="s">
        <v>151</v>
      </c>
      <c r="F23" s="7" t="s">
        <v>18</v>
      </c>
      <c r="G23" s="7" t="s">
        <v>19</v>
      </c>
      <c r="H23" s="15" t="n">
        <v>0</v>
      </c>
      <c r="I23" s="15" t="n">
        <v>1</v>
      </c>
      <c r="J23" s="15"/>
      <c r="K23" s="15" t="n">
        <f aca="false">IFERROR(MAX(0,I23-IF(J23&lt;&gt;"",J23,H23)),"revisar unidad")</f>
        <v>1</v>
      </c>
    </row>
    <row r="24" customFormat="false" ht="15.75" hidden="false" customHeight="true" outlineLevel="0" collapsed="false">
      <c r="A24" s="7" t="s">
        <v>155</v>
      </c>
      <c r="B24" s="7" t="s">
        <v>160</v>
      </c>
      <c r="C24" s="7" t="s">
        <v>15</v>
      </c>
      <c r="D24" s="7"/>
      <c r="E24" s="19" t="s">
        <v>151</v>
      </c>
      <c r="F24" s="7" t="s">
        <v>18</v>
      </c>
      <c r="G24" s="7" t="s">
        <v>19</v>
      </c>
      <c r="H24" s="15" t="n">
        <v>0</v>
      </c>
      <c r="I24" s="15" t="n">
        <v>1</v>
      </c>
      <c r="J24" s="15"/>
      <c r="K24" s="15" t="n">
        <f aca="false">IFERROR(MAX(0,I24-IF(J24&lt;&gt;"",J24,H24)),"revisar unidad")</f>
        <v>1</v>
      </c>
    </row>
    <row r="25" customFormat="false" ht="15.75" hidden="false" customHeight="true" outlineLevel="0" collapsed="false">
      <c r="A25" s="7" t="s">
        <v>155</v>
      </c>
      <c r="B25" s="7" t="s">
        <v>161</v>
      </c>
      <c r="C25" s="7" t="s">
        <v>15</v>
      </c>
      <c r="D25" s="7"/>
      <c r="E25" s="19" t="s">
        <v>151</v>
      </c>
      <c r="F25" s="7" t="s">
        <v>18</v>
      </c>
      <c r="G25" s="7" t="s">
        <v>19</v>
      </c>
      <c r="H25" s="15" t="n">
        <v>0</v>
      </c>
      <c r="I25" s="15" t="n">
        <v>2</v>
      </c>
      <c r="J25" s="15"/>
      <c r="K25" s="15" t="n">
        <f aca="false">IFERROR(MAX(0,I25-IF(J25&lt;&gt;"",J25,H25)),"revisar unidad")</f>
        <v>2</v>
      </c>
    </row>
    <row r="26" customFormat="false" ht="15.75" hidden="false" customHeight="true" outlineLevel="0" collapsed="false">
      <c r="A26" s="7" t="s">
        <v>155</v>
      </c>
      <c r="B26" s="7" t="s">
        <v>162</v>
      </c>
      <c r="C26" s="7" t="s">
        <v>15</v>
      </c>
      <c r="D26" s="7"/>
      <c r="E26" s="19" t="s">
        <v>151</v>
      </c>
      <c r="F26" s="7" t="s">
        <v>18</v>
      </c>
      <c r="G26" s="7" t="s">
        <v>19</v>
      </c>
      <c r="H26" s="15" t="n">
        <v>0</v>
      </c>
      <c r="I26" s="15" t="n">
        <v>3</v>
      </c>
      <c r="J26" s="15"/>
      <c r="K26" s="15" t="n">
        <f aca="false">IFERROR(MAX(0,I26-IF(J26&lt;&gt;"",J26,H26)),"revisar unidad")</f>
        <v>3</v>
      </c>
    </row>
    <row r="27" customFormat="false" ht="15.75" hidden="false" customHeight="true" outlineLevel="0" collapsed="false">
      <c r="A27" s="7" t="s">
        <v>155</v>
      </c>
      <c r="B27" s="7" t="s">
        <v>163</v>
      </c>
      <c r="C27" s="7" t="s">
        <v>15</v>
      </c>
      <c r="D27" s="7"/>
      <c r="E27" s="19" t="s">
        <v>151</v>
      </c>
      <c r="F27" s="7" t="s">
        <v>18</v>
      </c>
      <c r="G27" s="7" t="s">
        <v>19</v>
      </c>
      <c r="H27" s="15" t="n">
        <v>0</v>
      </c>
      <c r="I27" s="15" t="n">
        <v>2</v>
      </c>
      <c r="J27" s="15"/>
      <c r="K27" s="15" t="n">
        <f aca="false">IFERROR(MAX(0,I27-IF(J27&lt;&gt;"",J27,H27)),"revisar unidad")</f>
        <v>2</v>
      </c>
    </row>
    <row r="28" customFormat="false" ht="15.75" hidden="false" customHeight="true" outlineLevel="0" collapsed="false">
      <c r="A28" s="7" t="s">
        <v>155</v>
      </c>
      <c r="B28" s="7" t="s">
        <v>164</v>
      </c>
      <c r="C28" s="7" t="s">
        <v>15</v>
      </c>
      <c r="D28" s="7"/>
      <c r="E28" s="19" t="s">
        <v>151</v>
      </c>
      <c r="F28" s="7" t="s">
        <v>18</v>
      </c>
      <c r="G28" s="7" t="s">
        <v>19</v>
      </c>
      <c r="H28" s="15" t="n">
        <v>0</v>
      </c>
      <c r="I28" s="15" t="n">
        <v>1</v>
      </c>
      <c r="J28" s="15"/>
      <c r="K28" s="15" t="n">
        <f aca="false">IFERROR(MAX(0,I28-IF(J28&lt;&gt;"",J28,H28)),"revisar unidad")</f>
        <v>1</v>
      </c>
    </row>
    <row r="29" customFormat="false" ht="15.75" hidden="false" customHeight="true" outlineLevel="0" collapsed="false">
      <c r="A29" s="7" t="s">
        <v>155</v>
      </c>
      <c r="B29" s="7" t="s">
        <v>165</v>
      </c>
      <c r="C29" s="7" t="s">
        <v>15</v>
      </c>
      <c r="D29" s="7"/>
      <c r="E29" s="19" t="s">
        <v>151</v>
      </c>
      <c r="F29" s="7" t="s">
        <v>18</v>
      </c>
      <c r="G29" s="7" t="s">
        <v>19</v>
      </c>
      <c r="H29" s="15" t="n">
        <v>0</v>
      </c>
      <c r="I29" s="15" t="n">
        <v>1</v>
      </c>
      <c r="J29" s="15"/>
      <c r="K29" s="15" t="n">
        <f aca="false">IFERROR(MAX(0,I29-IF(J29&lt;&gt;"",J29,H29)),"revisar unidad")</f>
        <v>1</v>
      </c>
    </row>
    <row r="30" customFormat="false" ht="15.75" hidden="false" customHeight="true" outlineLevel="0" collapsed="false">
      <c r="A30" s="7" t="s">
        <v>155</v>
      </c>
      <c r="B30" s="7" t="s">
        <v>166</v>
      </c>
      <c r="C30" s="7" t="s">
        <v>15</v>
      </c>
      <c r="D30" s="7"/>
      <c r="E30" s="19" t="s">
        <v>151</v>
      </c>
      <c r="F30" s="7" t="s">
        <v>18</v>
      </c>
      <c r="G30" s="7" t="s">
        <v>19</v>
      </c>
      <c r="H30" s="15" t="n">
        <v>0</v>
      </c>
      <c r="I30" s="15" t="n">
        <v>3</v>
      </c>
      <c r="J30" s="15"/>
      <c r="K30" s="15" t="n">
        <f aca="false">IFERROR(MAX(0,I30-IF(J30&lt;&gt;"",J30,H30)),"revisar unidad")</f>
        <v>3</v>
      </c>
    </row>
    <row r="31" customFormat="false" ht="15.75" hidden="false" customHeight="true" outlineLevel="0" collapsed="false">
      <c r="A31" s="7" t="s">
        <v>155</v>
      </c>
      <c r="B31" s="7" t="s">
        <v>167</v>
      </c>
      <c r="C31" s="7" t="s">
        <v>15</v>
      </c>
      <c r="D31" s="7"/>
      <c r="E31" s="19" t="s">
        <v>151</v>
      </c>
      <c r="F31" s="7" t="s">
        <v>18</v>
      </c>
      <c r="G31" s="7" t="s">
        <v>19</v>
      </c>
      <c r="H31" s="15" t="n">
        <v>0</v>
      </c>
      <c r="I31" s="15" t="n">
        <v>2</v>
      </c>
      <c r="J31" s="15"/>
      <c r="K31" s="15" t="n">
        <f aca="false">IFERROR(MAX(0,I31-IF(J31&lt;&gt;"",J31,H31)),"revisar unidad")</f>
        <v>2</v>
      </c>
    </row>
    <row r="32" customFormat="false" ht="15.75" hidden="false" customHeight="true" outlineLevel="0" collapsed="false">
      <c r="A32" s="7" t="s">
        <v>155</v>
      </c>
      <c r="B32" s="7" t="s">
        <v>168</v>
      </c>
      <c r="C32" s="7" t="s">
        <v>15</v>
      </c>
      <c r="D32" s="7"/>
      <c r="E32" s="19" t="s">
        <v>151</v>
      </c>
      <c r="F32" s="7" t="s">
        <v>18</v>
      </c>
      <c r="G32" s="7" t="s">
        <v>19</v>
      </c>
      <c r="H32" s="15" t="n">
        <v>0</v>
      </c>
      <c r="I32" s="15" t="n">
        <v>2</v>
      </c>
      <c r="J32" s="15"/>
      <c r="K32" s="15" t="n">
        <f aca="false">IFERROR(MAX(0,I32-IF(J32&lt;&gt;"",J32,H32)),"revisar unidad")</f>
        <v>2</v>
      </c>
    </row>
    <row r="33" customFormat="false" ht="15.75" hidden="false" customHeight="true" outlineLevel="0" collapsed="false">
      <c r="A33" s="7" t="s">
        <v>155</v>
      </c>
      <c r="B33" s="7" t="s">
        <v>169</v>
      </c>
      <c r="C33" s="7" t="s">
        <v>15</v>
      </c>
      <c r="D33" s="7"/>
      <c r="E33" s="19" t="s">
        <v>151</v>
      </c>
      <c r="F33" s="7" t="s">
        <v>18</v>
      </c>
      <c r="G33" s="7" t="s">
        <v>19</v>
      </c>
      <c r="H33" s="15" t="n">
        <v>0</v>
      </c>
      <c r="I33" s="15" t="n">
        <v>3</v>
      </c>
      <c r="J33" s="15"/>
      <c r="K33" s="15" t="n">
        <f aca="false">IFERROR(MAX(0,I33-IF(J33&lt;&gt;"",J33,H33)),"revisar unidad")</f>
        <v>3</v>
      </c>
    </row>
    <row r="34" customFormat="false" ht="15.75" hidden="false" customHeight="true" outlineLevel="0" collapsed="false">
      <c r="A34" s="7" t="s">
        <v>155</v>
      </c>
      <c r="B34" s="7" t="s">
        <v>170</v>
      </c>
      <c r="C34" s="7" t="s">
        <v>15</v>
      </c>
      <c r="D34" s="7"/>
      <c r="E34" s="19" t="s">
        <v>151</v>
      </c>
      <c r="F34" s="7" t="s">
        <v>18</v>
      </c>
      <c r="G34" s="7" t="s">
        <v>19</v>
      </c>
      <c r="H34" s="15" t="n">
        <v>0</v>
      </c>
      <c r="I34" s="15" t="n">
        <v>2</v>
      </c>
      <c r="J34" s="15"/>
      <c r="K34" s="15" t="n">
        <f aca="false">IFERROR(MAX(0,I34-IF(J34&lt;&gt;"",J34,H34)),"revisar unidad")</f>
        <v>2</v>
      </c>
    </row>
    <row r="35" customFormat="false" ht="15.75" hidden="false" customHeight="true" outlineLevel="0" collapsed="false">
      <c r="A35" s="7" t="s">
        <v>155</v>
      </c>
      <c r="B35" s="7" t="s">
        <v>171</v>
      </c>
      <c r="C35" s="7" t="s">
        <v>15</v>
      </c>
      <c r="D35" s="7"/>
      <c r="E35" s="19" t="s">
        <v>151</v>
      </c>
      <c r="F35" s="7" t="s">
        <v>18</v>
      </c>
      <c r="G35" s="7" t="s">
        <v>19</v>
      </c>
      <c r="H35" s="15" t="n">
        <v>0</v>
      </c>
      <c r="I35" s="15" t="n">
        <v>1</v>
      </c>
      <c r="J35" s="15"/>
      <c r="K35" s="15" t="n">
        <f aca="false">IFERROR(MAX(0,I35-IF(J35&lt;&gt;"",J35,H35)),"revisar unidad")</f>
        <v>1</v>
      </c>
    </row>
    <row r="36" customFormat="false" ht="15.75" hidden="false" customHeight="true" outlineLevel="0" collapsed="false">
      <c r="A36" s="7" t="s">
        <v>155</v>
      </c>
      <c r="B36" s="7" t="s">
        <v>172</v>
      </c>
      <c r="C36" s="7" t="s">
        <v>15</v>
      </c>
      <c r="D36" s="7"/>
      <c r="E36" s="19" t="s">
        <v>151</v>
      </c>
      <c r="F36" s="7" t="s">
        <v>18</v>
      </c>
      <c r="G36" s="7" t="s">
        <v>19</v>
      </c>
      <c r="H36" s="15" t="n">
        <v>0</v>
      </c>
      <c r="I36" s="15" t="n">
        <v>2</v>
      </c>
      <c r="J36" s="15"/>
      <c r="K36" s="15" t="n">
        <f aca="false">IFERROR(MAX(0,I36-IF(J36&lt;&gt;"",J36,H36)),"revisar unidad")</f>
        <v>2</v>
      </c>
    </row>
    <row r="37" customFormat="false" ht="15.75" hidden="false" customHeight="true" outlineLevel="0" collapsed="false">
      <c r="A37" s="7" t="s">
        <v>155</v>
      </c>
      <c r="B37" s="7" t="s">
        <v>173</v>
      </c>
      <c r="C37" s="7" t="s">
        <v>15</v>
      </c>
      <c r="D37" s="7"/>
      <c r="E37" s="19" t="s">
        <v>151</v>
      </c>
      <c r="F37" s="7" t="s">
        <v>18</v>
      </c>
      <c r="G37" s="7" t="s">
        <v>19</v>
      </c>
      <c r="H37" s="15" t="n">
        <v>0</v>
      </c>
      <c r="I37" s="15" t="n">
        <v>2</v>
      </c>
      <c r="J37" s="15"/>
      <c r="K37" s="15" t="n">
        <f aca="false">IFERROR(MAX(0,I37-IF(J37&lt;&gt;"",J37,H37)),"revisar unidad")</f>
        <v>2</v>
      </c>
    </row>
    <row r="38" customFormat="false" ht="15.75" hidden="false" customHeight="true" outlineLevel="0" collapsed="false">
      <c r="A38" s="7" t="s">
        <v>155</v>
      </c>
      <c r="B38" s="7" t="s">
        <v>174</v>
      </c>
      <c r="C38" s="7" t="s">
        <v>15</v>
      </c>
      <c r="D38" s="7"/>
      <c r="E38" s="19" t="s">
        <v>151</v>
      </c>
      <c r="F38" s="7" t="s">
        <v>18</v>
      </c>
      <c r="G38" s="7" t="s">
        <v>19</v>
      </c>
      <c r="H38" s="15" t="n">
        <v>0</v>
      </c>
      <c r="I38" s="15" t="n">
        <v>1</v>
      </c>
      <c r="J38" s="15"/>
      <c r="K38" s="15" t="n">
        <f aca="false">IFERROR(MAX(0,I38-IF(J38&lt;&gt;"",J38,H38)),"revisar unidad")</f>
        <v>1</v>
      </c>
    </row>
    <row r="39" customFormat="false" ht="15.75" hidden="false" customHeight="true" outlineLevel="0" collapsed="false">
      <c r="A39" s="7" t="s">
        <v>155</v>
      </c>
      <c r="B39" s="7" t="s">
        <v>175</v>
      </c>
      <c r="C39" s="7" t="s">
        <v>15</v>
      </c>
      <c r="D39" s="7"/>
      <c r="E39" s="19" t="s">
        <v>151</v>
      </c>
      <c r="F39" s="7" t="s">
        <v>18</v>
      </c>
      <c r="G39" s="7" t="s">
        <v>19</v>
      </c>
      <c r="H39" s="15" t="n">
        <v>0</v>
      </c>
      <c r="I39" s="15" t="n">
        <v>2</v>
      </c>
      <c r="J39" s="15"/>
      <c r="K39" s="15" t="n">
        <f aca="false">IFERROR(MAX(0,I39-IF(J39&lt;&gt;"",J39,H39)),"revisar unidad")</f>
        <v>2</v>
      </c>
    </row>
    <row r="40" customFormat="false" ht="15.75" hidden="false" customHeight="true" outlineLevel="0" collapsed="false">
      <c r="A40" s="7" t="s">
        <v>155</v>
      </c>
      <c r="B40" s="7" t="s">
        <v>176</v>
      </c>
      <c r="C40" s="7" t="s">
        <v>15</v>
      </c>
      <c r="D40" s="7"/>
      <c r="E40" s="19" t="s">
        <v>151</v>
      </c>
      <c r="F40" s="7" t="s">
        <v>18</v>
      </c>
      <c r="G40" s="7" t="s">
        <v>19</v>
      </c>
      <c r="H40" s="15" t="n">
        <v>0</v>
      </c>
      <c r="I40" s="15" t="n">
        <v>1</v>
      </c>
      <c r="J40" s="15"/>
      <c r="K40" s="15" t="n">
        <f aca="false">IFERROR(MAX(0,I40-IF(J40&lt;&gt;"",J40,H40)),"revisar unidad")</f>
        <v>1</v>
      </c>
    </row>
    <row r="41" customFormat="false" ht="15.75" hidden="false" customHeight="true" outlineLevel="0" collapsed="false">
      <c r="A41" s="7" t="s">
        <v>155</v>
      </c>
      <c r="B41" s="7" t="s">
        <v>177</v>
      </c>
      <c r="C41" s="7" t="s">
        <v>15</v>
      </c>
      <c r="D41" s="7"/>
      <c r="E41" s="19" t="s">
        <v>151</v>
      </c>
      <c r="F41" s="7" t="s">
        <v>18</v>
      </c>
      <c r="G41" s="7" t="s">
        <v>19</v>
      </c>
      <c r="H41" s="15" t="n">
        <v>0</v>
      </c>
      <c r="I41" s="15" t="n">
        <v>2</v>
      </c>
      <c r="J41" s="15"/>
      <c r="K41" s="15" t="n">
        <f aca="false">IFERROR(MAX(0,I41-IF(J41&lt;&gt;"",J41,H41)),"revisar unidad")</f>
        <v>2</v>
      </c>
    </row>
    <row r="42" customFormat="false" ht="15.75" hidden="false" customHeight="true" outlineLevel="0" collapsed="false">
      <c r="A42" s="7" t="s">
        <v>155</v>
      </c>
      <c r="B42" s="7" t="s">
        <v>178</v>
      </c>
      <c r="C42" s="7" t="s">
        <v>15</v>
      </c>
      <c r="D42" s="7"/>
      <c r="E42" s="19" t="s">
        <v>151</v>
      </c>
      <c r="F42" s="7" t="s">
        <v>18</v>
      </c>
      <c r="G42" s="7" t="s">
        <v>19</v>
      </c>
      <c r="H42" s="15" t="n">
        <v>0</v>
      </c>
      <c r="I42" s="15" t="n">
        <v>2</v>
      </c>
      <c r="J42" s="15"/>
      <c r="K42" s="15" t="n">
        <f aca="false">IFERROR(MAX(0,I42-IF(J42&lt;&gt;"",J42,H42)),"revisar unidad")</f>
        <v>2</v>
      </c>
    </row>
    <row r="43" customFormat="false" ht="15.75" hidden="false" customHeight="true" outlineLevel="0" collapsed="false">
      <c r="A43" s="7" t="s">
        <v>155</v>
      </c>
      <c r="B43" s="7" t="s">
        <v>179</v>
      </c>
      <c r="C43" s="7" t="s">
        <v>15</v>
      </c>
      <c r="D43" s="7"/>
      <c r="E43" s="19" t="s">
        <v>151</v>
      </c>
      <c r="F43" s="7" t="s">
        <v>18</v>
      </c>
      <c r="G43" s="7" t="s">
        <v>19</v>
      </c>
      <c r="H43" s="15" t="n">
        <v>0</v>
      </c>
      <c r="I43" s="15" t="n">
        <v>2</v>
      </c>
      <c r="J43" s="15"/>
      <c r="K43" s="15" t="n">
        <f aca="false">IFERROR(MAX(0,I43-IF(J43&lt;&gt;"",J43,H43)),"revisar unidad")</f>
        <v>2</v>
      </c>
    </row>
    <row r="44" customFormat="false" ht="15.75" hidden="false" customHeight="true" outlineLevel="0" collapsed="false">
      <c r="A44" s="7" t="s">
        <v>180</v>
      </c>
      <c r="B44" s="7" t="s">
        <v>181</v>
      </c>
      <c r="C44" s="7" t="s">
        <v>15</v>
      </c>
      <c r="D44" s="7" t="s">
        <v>182</v>
      </c>
      <c r="E44" s="19" t="s">
        <v>151</v>
      </c>
      <c r="F44" s="7" t="s">
        <v>18</v>
      </c>
      <c r="G44" s="7" t="s">
        <v>19</v>
      </c>
      <c r="H44" s="15" t="n">
        <v>0</v>
      </c>
      <c r="I44" s="15" t="n">
        <v>1</v>
      </c>
      <c r="J44" s="15"/>
      <c r="K44" s="15" t="n">
        <f aca="false">IFERROR(MAX(0,I44-IF(J44&lt;&gt;"",J44,H44)),"revisar unidad")</f>
        <v>1</v>
      </c>
    </row>
    <row r="45" customFormat="false" ht="15.75" hidden="false" customHeight="true" outlineLevel="0" collapsed="false">
      <c r="A45" s="7" t="s">
        <v>180</v>
      </c>
      <c r="B45" s="7" t="s">
        <v>183</v>
      </c>
      <c r="C45" s="7" t="s">
        <v>15</v>
      </c>
      <c r="D45" s="7" t="s">
        <v>184</v>
      </c>
      <c r="E45" s="19" t="s">
        <v>151</v>
      </c>
      <c r="F45" s="7" t="s">
        <v>18</v>
      </c>
      <c r="G45" s="7" t="s">
        <v>19</v>
      </c>
      <c r="H45" s="15" t="n">
        <v>0</v>
      </c>
      <c r="I45" s="15" t="n">
        <v>2</v>
      </c>
      <c r="J45" s="15"/>
      <c r="K45" s="15" t="n">
        <f aca="false">IFERROR(MAX(0,I45-IF(J45&lt;&gt;"",J45,H45)),"revisar unidad")</f>
        <v>2</v>
      </c>
    </row>
    <row r="46" customFormat="false" ht="15.75" hidden="false" customHeight="true" outlineLevel="0" collapsed="false">
      <c r="A46" s="7" t="s">
        <v>180</v>
      </c>
      <c r="B46" s="7" t="s">
        <v>185</v>
      </c>
      <c r="C46" s="7" t="s">
        <v>15</v>
      </c>
      <c r="D46" s="7" t="s">
        <v>186</v>
      </c>
      <c r="E46" s="19" t="s">
        <v>151</v>
      </c>
      <c r="F46" s="7" t="s">
        <v>18</v>
      </c>
      <c r="G46" s="7" t="s">
        <v>19</v>
      </c>
      <c r="H46" s="15" t="n">
        <v>0</v>
      </c>
      <c r="I46" s="15" t="n">
        <v>1</v>
      </c>
      <c r="J46" s="15"/>
      <c r="K46" s="15" t="n">
        <f aca="false">IFERROR(MAX(0,I46-IF(J46&lt;&gt;"",J46,H46)),"revisar unidad")</f>
        <v>1</v>
      </c>
    </row>
    <row r="47" customFormat="false" ht="15.75" hidden="false" customHeight="true" outlineLevel="0" collapsed="false">
      <c r="A47" s="7" t="s">
        <v>180</v>
      </c>
      <c r="B47" s="7" t="s">
        <v>187</v>
      </c>
      <c r="C47" s="7" t="s">
        <v>15</v>
      </c>
      <c r="D47" s="7" t="s">
        <v>182</v>
      </c>
      <c r="E47" s="19" t="s">
        <v>151</v>
      </c>
      <c r="F47" s="7" t="s">
        <v>18</v>
      </c>
      <c r="G47" s="7" t="s">
        <v>19</v>
      </c>
      <c r="H47" s="15" t="n">
        <v>0</v>
      </c>
      <c r="I47" s="15" t="n">
        <v>1</v>
      </c>
      <c r="J47" s="15"/>
      <c r="K47" s="15" t="n">
        <f aca="false">IFERROR(MAX(0,I47-IF(J47&lt;&gt;"",J47,H47)),"revisar unidad")</f>
        <v>1</v>
      </c>
    </row>
    <row r="48" customFormat="false" ht="15.75" hidden="false" customHeight="true" outlineLevel="0" collapsed="false">
      <c r="A48" s="7" t="s">
        <v>180</v>
      </c>
      <c r="B48" s="7" t="s">
        <v>188</v>
      </c>
      <c r="C48" s="7" t="s">
        <v>15</v>
      </c>
      <c r="D48" s="7" t="s">
        <v>189</v>
      </c>
      <c r="E48" s="19" t="s">
        <v>151</v>
      </c>
      <c r="F48" s="7" t="s">
        <v>18</v>
      </c>
      <c r="G48" s="7" t="s">
        <v>19</v>
      </c>
      <c r="H48" s="15" t="n">
        <v>0</v>
      </c>
      <c r="I48" s="15" t="n">
        <v>1</v>
      </c>
      <c r="J48" s="15"/>
      <c r="K48" s="15" t="n">
        <f aca="false">IFERROR(MAX(0,I48-IF(J48&lt;&gt;"",J48,H48)),"revisar unidad")</f>
        <v>1</v>
      </c>
    </row>
    <row r="49" customFormat="false" ht="15.75" hidden="false" customHeight="true" outlineLevel="0" collapsed="false">
      <c r="A49" s="7" t="s">
        <v>190</v>
      </c>
      <c r="B49" s="7" t="s">
        <v>191</v>
      </c>
      <c r="C49" s="7" t="s">
        <v>15</v>
      </c>
      <c r="D49" s="7"/>
      <c r="E49" s="19" t="s">
        <v>151</v>
      </c>
      <c r="F49" s="7" t="s">
        <v>18</v>
      </c>
      <c r="G49" s="7" t="s">
        <v>19</v>
      </c>
      <c r="H49" s="15" t="n">
        <v>42</v>
      </c>
      <c r="I49" s="15" t="s">
        <v>192</v>
      </c>
      <c r="J49" s="15"/>
      <c r="K49" s="15"/>
    </row>
    <row r="50" customFormat="false" ht="15.75" hidden="false" customHeight="true" outlineLevel="0" collapsed="false">
      <c r="A50" s="7" t="s">
        <v>190</v>
      </c>
      <c r="B50" s="7" t="s">
        <v>193</v>
      </c>
      <c r="C50" s="7" t="s">
        <v>15</v>
      </c>
      <c r="D50" s="7"/>
      <c r="E50" s="19" t="s">
        <v>151</v>
      </c>
      <c r="F50" s="7" t="s">
        <v>18</v>
      </c>
      <c r="G50" s="7" t="s">
        <v>19</v>
      </c>
      <c r="H50" s="15" t="s">
        <v>194</v>
      </c>
      <c r="I50" s="15" t="s">
        <v>154</v>
      </c>
      <c r="J50" s="15"/>
      <c r="K50" s="15"/>
    </row>
    <row r="51" customFormat="false" ht="15.75" hidden="false" customHeight="true" outlineLevel="0" collapsed="false">
      <c r="A51" s="7" t="s">
        <v>190</v>
      </c>
      <c r="B51" s="7" t="s">
        <v>195</v>
      </c>
      <c r="C51" s="7" t="s">
        <v>15</v>
      </c>
      <c r="D51" s="7"/>
      <c r="E51" s="19" t="s">
        <v>151</v>
      </c>
      <c r="F51" s="7" t="s">
        <v>18</v>
      </c>
      <c r="G51" s="7" t="s">
        <v>19</v>
      </c>
      <c r="H51" s="15" t="s">
        <v>72</v>
      </c>
      <c r="I51" s="15" t="s">
        <v>196</v>
      </c>
      <c r="J51" s="15"/>
      <c r="K51" s="15"/>
    </row>
    <row r="52" customFormat="false" ht="15.75" hidden="false" customHeight="true" outlineLevel="0" collapsed="false">
      <c r="A52" s="7" t="s">
        <v>190</v>
      </c>
      <c r="B52" s="7" t="s">
        <v>197</v>
      </c>
      <c r="C52" s="7" t="s">
        <v>15</v>
      </c>
      <c r="D52" s="7"/>
      <c r="E52" s="19" t="s">
        <v>151</v>
      </c>
      <c r="F52" s="7" t="s">
        <v>18</v>
      </c>
      <c r="G52" s="7" t="s">
        <v>19</v>
      </c>
      <c r="H52" s="15" t="s">
        <v>72</v>
      </c>
      <c r="I52" s="15" t="s">
        <v>198</v>
      </c>
      <c r="J52" s="15"/>
      <c r="K52" s="15"/>
    </row>
    <row r="53" customFormat="false" ht="15.75" hidden="false" customHeight="true" outlineLevel="0" collapsed="false">
      <c r="A53" s="7" t="s">
        <v>190</v>
      </c>
      <c r="B53" s="7" t="s">
        <v>199</v>
      </c>
      <c r="C53" s="7" t="s">
        <v>15</v>
      </c>
      <c r="D53" s="7"/>
      <c r="E53" s="19" t="s">
        <v>151</v>
      </c>
      <c r="F53" s="7" t="s">
        <v>18</v>
      </c>
      <c r="G53" s="7" t="s">
        <v>19</v>
      </c>
      <c r="H53" s="15" t="n">
        <v>1</v>
      </c>
      <c r="I53" s="15" t="n">
        <v>2</v>
      </c>
      <c r="J53" s="15"/>
      <c r="K53" s="15" t="n">
        <f aca="false">IFERROR(MAX(0,I53-IF(J53&lt;&gt;"",J53,H53)),"revisar unidad")</f>
        <v>1</v>
      </c>
    </row>
    <row r="54" customFormat="false" ht="15.75" hidden="false" customHeight="true" outlineLevel="0" collapsed="false">
      <c r="A54" s="7" t="s">
        <v>200</v>
      </c>
      <c r="B54" s="7" t="s">
        <v>201</v>
      </c>
      <c r="C54" s="7" t="s">
        <v>57</v>
      </c>
      <c r="D54" s="7"/>
      <c r="E54" s="19" t="s">
        <v>151</v>
      </c>
      <c r="F54" s="7" t="s">
        <v>18</v>
      </c>
      <c r="G54" s="7" t="s">
        <v>19</v>
      </c>
      <c r="H54" s="15" t="n">
        <v>0</v>
      </c>
      <c r="I54" s="15" t="s">
        <v>202</v>
      </c>
      <c r="J54" s="15"/>
      <c r="K54" s="15"/>
    </row>
    <row r="55" customFormat="false" ht="15.75" hidden="false" customHeight="true" outlineLevel="0" collapsed="false">
      <c r="A55" s="7" t="s">
        <v>200</v>
      </c>
      <c r="B55" s="7" t="s">
        <v>203</v>
      </c>
      <c r="C55" s="7" t="s">
        <v>57</v>
      </c>
      <c r="D55" s="7"/>
      <c r="E55" s="19" t="s">
        <v>151</v>
      </c>
      <c r="F55" s="7" t="s">
        <v>18</v>
      </c>
      <c r="G55" s="7" t="s">
        <v>19</v>
      </c>
      <c r="H55" s="15" t="n">
        <v>0</v>
      </c>
      <c r="I55" s="15" t="n">
        <v>2</v>
      </c>
      <c r="J55" s="15"/>
      <c r="K55" s="15" t="n">
        <f aca="false">IFERROR(MAX(0,I55-IF(J55&lt;&gt;"",J55,H55)),"revisar unidad")</f>
        <v>2</v>
      </c>
    </row>
    <row r="56" customFormat="false" ht="15.75" hidden="false" customHeight="true" outlineLevel="0" collapsed="false">
      <c r="A56" s="7" t="s">
        <v>200</v>
      </c>
      <c r="B56" s="7" t="s">
        <v>204</v>
      </c>
      <c r="C56" s="7" t="s">
        <v>57</v>
      </c>
      <c r="D56" s="7"/>
      <c r="E56" s="19" t="s">
        <v>151</v>
      </c>
      <c r="F56" s="7" t="s">
        <v>18</v>
      </c>
      <c r="G56" s="7" t="s">
        <v>19</v>
      </c>
      <c r="H56" s="15" t="n">
        <v>0</v>
      </c>
      <c r="I56" s="15" t="n">
        <v>2</v>
      </c>
      <c r="J56" s="15"/>
      <c r="K56" s="15" t="n">
        <f aca="false">IFERROR(MAX(0,I56-IF(J56&lt;&gt;"",J56,H56)),"revisar unidad")</f>
        <v>2</v>
      </c>
    </row>
    <row r="57" customFormat="false" ht="15.75" hidden="false" customHeight="true" outlineLevel="0" collapsed="false">
      <c r="A57" s="7" t="s">
        <v>200</v>
      </c>
      <c r="B57" s="7" t="s">
        <v>205</v>
      </c>
      <c r="C57" s="7" t="s">
        <v>57</v>
      </c>
      <c r="D57" s="7"/>
      <c r="E57" s="19" t="s">
        <v>151</v>
      </c>
      <c r="F57" s="7" t="s">
        <v>18</v>
      </c>
      <c r="G57" s="7" t="s">
        <v>19</v>
      </c>
      <c r="H57" s="15" t="n">
        <v>0</v>
      </c>
      <c r="I57" s="15" t="n">
        <v>2</v>
      </c>
      <c r="J57" s="15"/>
      <c r="K57" s="15" t="n">
        <f aca="false">IFERROR(MAX(0,I57-IF(J57&lt;&gt;"",J57,H57)),"revisar unidad")</f>
        <v>2</v>
      </c>
    </row>
    <row r="58" customFormat="false" ht="15.75" hidden="false" customHeight="true" outlineLevel="0" collapsed="false">
      <c r="A58" s="7" t="s">
        <v>200</v>
      </c>
      <c r="B58" s="7" t="s">
        <v>206</v>
      </c>
      <c r="C58" s="7" t="s">
        <v>57</v>
      </c>
      <c r="D58" s="7"/>
      <c r="E58" s="19" t="s">
        <v>151</v>
      </c>
      <c r="F58" s="7" t="s">
        <v>18</v>
      </c>
      <c r="G58" s="7" t="s">
        <v>19</v>
      </c>
      <c r="H58" s="15" t="n">
        <v>0</v>
      </c>
      <c r="I58" s="15" t="n">
        <v>2</v>
      </c>
      <c r="J58" s="15"/>
      <c r="K58" s="15" t="n">
        <f aca="false">IFERROR(MAX(0,I58-IF(J58&lt;&gt;"",J58,H58)),"revisar unidad")</f>
        <v>2</v>
      </c>
    </row>
    <row r="59" customFormat="false" ht="15.75" hidden="false" customHeight="true" outlineLevel="0" collapsed="false">
      <c r="A59" s="7" t="s">
        <v>200</v>
      </c>
      <c r="B59" s="7" t="s">
        <v>207</v>
      </c>
      <c r="C59" s="7" t="s">
        <v>57</v>
      </c>
      <c r="D59" s="7"/>
      <c r="E59" s="19" t="s">
        <v>151</v>
      </c>
      <c r="F59" s="7" t="s">
        <v>18</v>
      </c>
      <c r="G59" s="7" t="s">
        <v>19</v>
      </c>
      <c r="H59" s="15" t="n">
        <v>0</v>
      </c>
      <c r="I59" s="15" t="n">
        <v>1</v>
      </c>
      <c r="J59" s="15"/>
      <c r="K59" s="15" t="n">
        <f aca="false">IFERROR(MAX(0,I59-IF(J59&lt;&gt;"",J59,H59)),"revisar unidad")</f>
        <v>1</v>
      </c>
    </row>
    <row r="60" customFormat="false" ht="15.75" hidden="false" customHeight="true" outlineLevel="0" collapsed="false">
      <c r="A60" s="7" t="s">
        <v>200</v>
      </c>
      <c r="B60" s="7" t="s">
        <v>208</v>
      </c>
      <c r="C60" s="7" t="s">
        <v>57</v>
      </c>
      <c r="D60" s="7"/>
      <c r="E60" s="19" t="s">
        <v>151</v>
      </c>
      <c r="F60" s="7" t="s">
        <v>18</v>
      </c>
      <c r="G60" s="7" t="s">
        <v>19</v>
      </c>
      <c r="H60" s="15" t="n">
        <v>0</v>
      </c>
      <c r="I60" s="15" t="n">
        <v>1</v>
      </c>
      <c r="J60" s="15"/>
      <c r="K60" s="15" t="n">
        <f aca="false">IFERROR(MAX(0,I60-IF(J60&lt;&gt;"",J60,H60)),"revisar unidad")</f>
        <v>1</v>
      </c>
    </row>
    <row r="61" customFormat="false" ht="15.75" hidden="false" customHeight="true" outlineLevel="0" collapsed="false">
      <c r="A61" s="7" t="s">
        <v>200</v>
      </c>
      <c r="B61" s="7" t="s">
        <v>209</v>
      </c>
      <c r="C61" s="7" t="s">
        <v>57</v>
      </c>
      <c r="D61" s="7"/>
      <c r="E61" s="19" t="s">
        <v>151</v>
      </c>
      <c r="F61" s="7" t="s">
        <v>18</v>
      </c>
      <c r="G61" s="7" t="s">
        <v>19</v>
      </c>
      <c r="H61" s="15" t="n">
        <v>0</v>
      </c>
      <c r="I61" s="15" t="n">
        <v>1</v>
      </c>
      <c r="J61" s="15"/>
      <c r="K61" s="15" t="n">
        <f aca="false">IFERROR(MAX(0,I61-IF(J61&lt;&gt;"",J61,H61)),"revisar unidad")</f>
        <v>1</v>
      </c>
    </row>
    <row r="62" customFormat="false" ht="15.75" hidden="false" customHeight="true" outlineLevel="0" collapsed="false">
      <c r="A62" s="7" t="s">
        <v>200</v>
      </c>
      <c r="B62" s="7" t="s">
        <v>210</v>
      </c>
      <c r="C62" s="7" t="s">
        <v>57</v>
      </c>
      <c r="D62" s="7"/>
      <c r="E62" s="19" t="s">
        <v>151</v>
      </c>
      <c r="F62" s="7" t="s">
        <v>18</v>
      </c>
      <c r="G62" s="7" t="s">
        <v>19</v>
      </c>
      <c r="H62" s="15" t="n">
        <v>0</v>
      </c>
      <c r="I62" s="15" t="n">
        <v>2</v>
      </c>
      <c r="J62" s="15"/>
      <c r="K62" s="15" t="n">
        <f aca="false">IFERROR(MAX(0,I62-IF(J62&lt;&gt;"",J62,H62)),"revisar unidad")</f>
        <v>2</v>
      </c>
    </row>
    <row r="63" customFormat="false" ht="15.75" hidden="false" customHeight="true" outlineLevel="0" collapsed="false">
      <c r="A63" s="7" t="s">
        <v>200</v>
      </c>
      <c r="B63" s="7" t="s">
        <v>211</v>
      </c>
      <c r="C63" s="7" t="s">
        <v>57</v>
      </c>
      <c r="D63" s="7"/>
      <c r="E63" s="19" t="s">
        <v>151</v>
      </c>
      <c r="F63" s="7" t="s">
        <v>18</v>
      </c>
      <c r="G63" s="7" t="s">
        <v>19</v>
      </c>
      <c r="H63" s="15" t="n">
        <v>0</v>
      </c>
      <c r="I63" s="15" t="s">
        <v>212</v>
      </c>
      <c r="J63" s="15"/>
      <c r="K63" s="15"/>
    </row>
    <row r="64" customFormat="false" ht="15.75" hidden="false" customHeight="true" outlineLevel="0" collapsed="false">
      <c r="A64" s="7" t="s">
        <v>200</v>
      </c>
      <c r="B64" s="7" t="s">
        <v>213</v>
      </c>
      <c r="C64" s="7" t="s">
        <v>57</v>
      </c>
      <c r="D64" s="7"/>
      <c r="E64" s="19" t="s">
        <v>151</v>
      </c>
      <c r="F64" s="7" t="s">
        <v>18</v>
      </c>
      <c r="G64" s="7" t="s">
        <v>19</v>
      </c>
      <c r="H64" s="15" t="n">
        <v>0</v>
      </c>
      <c r="I64" s="15" t="n">
        <v>1</v>
      </c>
      <c r="J64" s="15"/>
      <c r="K64" s="15" t="n">
        <f aca="false">IFERROR(MAX(0,I64-IF(J64&lt;&gt;"",J64,H64)),"revisar unidad")</f>
        <v>1</v>
      </c>
    </row>
    <row r="65" customFormat="false" ht="15.75" hidden="false" customHeight="true" outlineLevel="0" collapsed="false">
      <c r="A65" s="7" t="s">
        <v>200</v>
      </c>
      <c r="B65" s="7" t="s">
        <v>214</v>
      </c>
      <c r="C65" s="7" t="s">
        <v>57</v>
      </c>
      <c r="D65" s="7"/>
      <c r="E65" s="19" t="s">
        <v>151</v>
      </c>
      <c r="F65" s="7" t="s">
        <v>18</v>
      </c>
      <c r="G65" s="7" t="s">
        <v>19</v>
      </c>
      <c r="H65" s="15" t="n">
        <v>0</v>
      </c>
      <c r="I65" s="15" t="s">
        <v>215</v>
      </c>
      <c r="J65" s="15"/>
      <c r="K65" s="15"/>
    </row>
    <row r="66" customFormat="false" ht="15.75" hidden="false" customHeight="true" outlineLevel="0" collapsed="false">
      <c r="A66" s="7" t="s">
        <v>200</v>
      </c>
      <c r="B66" s="7" t="s">
        <v>216</v>
      </c>
      <c r="C66" s="7" t="s">
        <v>57</v>
      </c>
      <c r="D66" s="7"/>
      <c r="E66" s="19" t="s">
        <v>151</v>
      </c>
      <c r="F66" s="7" t="s">
        <v>18</v>
      </c>
      <c r="G66" s="7" t="s">
        <v>19</v>
      </c>
      <c r="H66" s="15" t="n">
        <v>0</v>
      </c>
      <c r="I66" s="15" t="n">
        <v>1</v>
      </c>
      <c r="J66" s="15"/>
      <c r="K66" s="15" t="n">
        <f aca="false">IFERROR(MAX(0,I66-IF(J66&lt;&gt;"",J66,H66)),"revisar unidad")</f>
        <v>1</v>
      </c>
    </row>
    <row r="67" customFormat="false" ht="15.75" hidden="false" customHeight="true" outlineLevel="0" collapsed="false">
      <c r="A67" s="7" t="s">
        <v>200</v>
      </c>
      <c r="B67" s="7" t="s">
        <v>217</v>
      </c>
      <c r="C67" s="7" t="s">
        <v>57</v>
      </c>
      <c r="D67" s="7"/>
      <c r="E67" s="19" t="s">
        <v>151</v>
      </c>
      <c r="F67" s="7" t="s">
        <v>18</v>
      </c>
      <c r="G67" s="7" t="s">
        <v>19</v>
      </c>
      <c r="H67" s="15" t="n">
        <v>0</v>
      </c>
      <c r="I67" s="15" t="s">
        <v>218</v>
      </c>
      <c r="J67" s="15"/>
      <c r="K67" s="15"/>
    </row>
    <row r="68" customFormat="false" ht="15.75" hidden="false" customHeight="true" outlineLevel="0" collapsed="false">
      <c r="A68" s="7" t="s">
        <v>200</v>
      </c>
      <c r="B68" s="7" t="s">
        <v>219</v>
      </c>
      <c r="C68" s="7" t="s">
        <v>57</v>
      </c>
      <c r="D68" s="7"/>
      <c r="E68" s="19" t="s">
        <v>151</v>
      </c>
      <c r="F68" s="7" t="s">
        <v>18</v>
      </c>
      <c r="G68" s="7" t="s">
        <v>19</v>
      </c>
      <c r="H68" s="15" t="n">
        <v>0</v>
      </c>
      <c r="I68" s="15" t="s">
        <v>218</v>
      </c>
      <c r="J68" s="15"/>
      <c r="K68" s="15"/>
    </row>
    <row r="69" customFormat="false" ht="15.75" hidden="false" customHeight="true" outlineLevel="0" collapsed="false">
      <c r="A69" s="7" t="s">
        <v>200</v>
      </c>
      <c r="B69" s="7" t="s">
        <v>220</v>
      </c>
      <c r="C69" s="7" t="s">
        <v>57</v>
      </c>
      <c r="D69" s="7"/>
      <c r="E69" s="19" t="s">
        <v>151</v>
      </c>
      <c r="F69" s="7" t="s">
        <v>18</v>
      </c>
      <c r="G69" s="7" t="s">
        <v>19</v>
      </c>
      <c r="H69" s="15" t="n">
        <v>0</v>
      </c>
      <c r="I69" s="15" t="n">
        <v>4</v>
      </c>
      <c r="J69" s="15"/>
      <c r="K69" s="15" t="n">
        <f aca="false">IFERROR(MAX(0,I69-IF(J69&lt;&gt;"",J69,H69)),"revisar unidad")</f>
        <v>4</v>
      </c>
    </row>
    <row r="70" customFormat="false" ht="15.75" hidden="false" customHeight="true" outlineLevel="0" collapsed="false">
      <c r="A70" s="7" t="s">
        <v>200</v>
      </c>
      <c r="B70" s="7" t="s">
        <v>221</v>
      </c>
      <c r="C70" s="7" t="s">
        <v>57</v>
      </c>
      <c r="D70" s="7"/>
      <c r="E70" s="19" t="s">
        <v>151</v>
      </c>
      <c r="F70" s="7" t="s">
        <v>18</v>
      </c>
      <c r="G70" s="7" t="s">
        <v>19</v>
      </c>
      <c r="H70" s="15" t="n">
        <v>0</v>
      </c>
      <c r="I70" s="15" t="s">
        <v>222</v>
      </c>
      <c r="J70" s="15"/>
      <c r="K70" s="15"/>
    </row>
    <row r="71" customFormat="false" ht="15.75" hidden="false" customHeight="true" outlineLevel="0" collapsed="false">
      <c r="A71" s="7" t="s">
        <v>200</v>
      </c>
      <c r="B71" s="7" t="s">
        <v>223</v>
      </c>
      <c r="C71" s="7" t="s">
        <v>57</v>
      </c>
      <c r="D71" s="7"/>
      <c r="E71" s="19" t="s">
        <v>151</v>
      </c>
      <c r="F71" s="7" t="s">
        <v>18</v>
      </c>
      <c r="G71" s="7" t="s">
        <v>19</v>
      </c>
      <c r="H71" s="15" t="n">
        <v>0</v>
      </c>
      <c r="I71" s="15" t="s">
        <v>224</v>
      </c>
      <c r="J71" s="15"/>
      <c r="K71" s="15"/>
    </row>
    <row r="72" customFormat="false" ht="15.75" hidden="false" customHeight="true" outlineLevel="0" collapsed="false">
      <c r="A72" s="7" t="s">
        <v>200</v>
      </c>
      <c r="B72" s="7" t="s">
        <v>225</v>
      </c>
      <c r="C72" s="7" t="s">
        <v>57</v>
      </c>
      <c r="D72" s="7"/>
      <c r="E72" s="19" t="s">
        <v>151</v>
      </c>
      <c r="F72" s="7" t="s">
        <v>18</v>
      </c>
      <c r="G72" s="7" t="s">
        <v>19</v>
      </c>
      <c r="H72" s="15" t="n">
        <v>0</v>
      </c>
      <c r="I72" s="15" t="s">
        <v>218</v>
      </c>
      <c r="J72" s="15"/>
      <c r="K72" s="15"/>
    </row>
    <row r="73" customFormat="false" ht="15.75" hidden="false" customHeight="true" outlineLevel="0" collapsed="false">
      <c r="A73" s="7" t="s">
        <v>200</v>
      </c>
      <c r="B73" s="7" t="s">
        <v>226</v>
      </c>
      <c r="C73" s="7" t="s">
        <v>57</v>
      </c>
      <c r="D73" s="7"/>
      <c r="E73" s="19" t="s">
        <v>151</v>
      </c>
      <c r="F73" s="7" t="s">
        <v>18</v>
      </c>
      <c r="G73" s="7" t="s">
        <v>19</v>
      </c>
      <c r="H73" s="15" t="n">
        <v>0</v>
      </c>
      <c r="I73" s="15" t="s">
        <v>227</v>
      </c>
      <c r="J73" s="15"/>
      <c r="K73" s="15"/>
    </row>
    <row r="74" customFormat="false" ht="15.75" hidden="false" customHeight="true" outlineLevel="0" collapsed="false">
      <c r="A74" s="7" t="s">
        <v>200</v>
      </c>
      <c r="B74" s="7" t="s">
        <v>228</v>
      </c>
      <c r="C74" s="7" t="s">
        <v>57</v>
      </c>
      <c r="D74" s="7"/>
      <c r="E74" s="19" t="s">
        <v>151</v>
      </c>
      <c r="F74" s="7" t="s">
        <v>18</v>
      </c>
      <c r="G74" s="7" t="s">
        <v>19</v>
      </c>
      <c r="H74" s="15" t="n">
        <v>0</v>
      </c>
      <c r="I74" s="15" t="s">
        <v>224</v>
      </c>
      <c r="J74" s="15"/>
      <c r="K74" s="15"/>
    </row>
    <row r="75" customFormat="false" ht="15.75" hidden="false" customHeight="true" outlineLevel="0" collapsed="false">
      <c r="A75" s="7" t="s">
        <v>200</v>
      </c>
      <c r="B75" s="7" t="s">
        <v>229</v>
      </c>
      <c r="C75" s="7" t="s">
        <v>57</v>
      </c>
      <c r="D75" s="7"/>
      <c r="E75" s="19" t="s">
        <v>151</v>
      </c>
      <c r="F75" s="7" t="s">
        <v>18</v>
      </c>
      <c r="G75" s="7" t="s">
        <v>19</v>
      </c>
      <c r="H75" s="15" t="n">
        <v>0</v>
      </c>
      <c r="I75" s="15" t="s">
        <v>230</v>
      </c>
      <c r="J75" s="15"/>
      <c r="K75" s="15"/>
    </row>
    <row r="76" customFormat="false" ht="15.75" hidden="false" customHeight="true" outlineLevel="0" collapsed="false">
      <c r="A76" s="7" t="s">
        <v>200</v>
      </c>
      <c r="B76" s="7" t="s">
        <v>231</v>
      </c>
      <c r="C76" s="7" t="s">
        <v>57</v>
      </c>
      <c r="D76" s="7"/>
      <c r="E76" s="19" t="s">
        <v>151</v>
      </c>
      <c r="F76" s="7" t="s">
        <v>18</v>
      </c>
      <c r="G76" s="7" t="s">
        <v>19</v>
      </c>
      <c r="H76" s="15" t="n">
        <v>0</v>
      </c>
      <c r="I76" s="15" t="s">
        <v>232</v>
      </c>
      <c r="J76" s="15"/>
      <c r="K76" s="15"/>
    </row>
    <row r="77" customFormat="false" ht="15.75" hidden="false" customHeight="true" outlineLevel="0" collapsed="false">
      <c r="A77" s="7" t="s">
        <v>200</v>
      </c>
      <c r="B77" s="7" t="s">
        <v>233</v>
      </c>
      <c r="C77" s="7" t="s">
        <v>57</v>
      </c>
      <c r="D77" s="7"/>
      <c r="E77" s="19" t="s">
        <v>151</v>
      </c>
      <c r="F77" s="7" t="s">
        <v>18</v>
      </c>
      <c r="G77" s="7" t="s">
        <v>19</v>
      </c>
      <c r="H77" s="15" t="n">
        <v>0</v>
      </c>
      <c r="I77" s="15" t="n">
        <v>3</v>
      </c>
      <c r="J77" s="15"/>
      <c r="K77" s="15" t="n">
        <f aca="false">IFERROR(MAX(0,I77-IF(J77&lt;&gt;"",J77,H77)),"revisar unidad")</f>
        <v>3</v>
      </c>
    </row>
    <row r="78" customFormat="false" ht="15.75" hidden="false" customHeight="true" outlineLevel="0" collapsed="false">
      <c r="A78" s="7" t="s">
        <v>200</v>
      </c>
      <c r="B78" s="7" t="s">
        <v>234</v>
      </c>
      <c r="C78" s="7" t="s">
        <v>57</v>
      </c>
      <c r="D78" s="7"/>
      <c r="E78" s="19" t="s">
        <v>151</v>
      </c>
      <c r="F78" s="7" t="s">
        <v>18</v>
      </c>
      <c r="G78" s="7" t="s">
        <v>19</v>
      </c>
      <c r="H78" s="15" t="n">
        <v>0</v>
      </c>
      <c r="I78" s="15" t="n">
        <v>90</v>
      </c>
      <c r="J78" s="15"/>
      <c r="K78" s="15" t="n">
        <f aca="false">IFERROR(MAX(0,I78-IF(J78&lt;&gt;"",J78,H78)),"revisar unidad")</f>
        <v>90</v>
      </c>
    </row>
    <row r="79" customFormat="false" ht="15.75" hidden="false" customHeight="true" outlineLevel="0" collapsed="false">
      <c r="A79" s="7" t="s">
        <v>200</v>
      </c>
      <c r="B79" s="7" t="s">
        <v>235</v>
      </c>
      <c r="C79" s="7" t="s">
        <v>57</v>
      </c>
      <c r="D79" s="7"/>
      <c r="E79" s="19" t="s">
        <v>151</v>
      </c>
      <c r="F79" s="7" t="s">
        <v>18</v>
      </c>
      <c r="G79" s="7" t="s">
        <v>19</v>
      </c>
      <c r="H79" s="15" t="n">
        <v>0</v>
      </c>
      <c r="I79" s="15" t="n">
        <v>90</v>
      </c>
      <c r="J79" s="15"/>
      <c r="K79" s="15" t="n">
        <f aca="false">IFERROR(MAX(0,I79-IF(J79&lt;&gt;"",J79,H79)),"revisar unidad")</f>
        <v>90</v>
      </c>
    </row>
    <row r="80" customFormat="false" ht="15.75" hidden="false" customHeight="true" outlineLevel="0" collapsed="false">
      <c r="A80" s="7" t="s">
        <v>200</v>
      </c>
      <c r="B80" s="7" t="s">
        <v>236</v>
      </c>
      <c r="C80" s="7" t="s">
        <v>57</v>
      </c>
      <c r="D80" s="7"/>
      <c r="E80" s="19" t="s">
        <v>151</v>
      </c>
      <c r="F80" s="7" t="s">
        <v>18</v>
      </c>
      <c r="G80" s="7" t="s">
        <v>19</v>
      </c>
      <c r="H80" s="15" t="n">
        <v>0</v>
      </c>
      <c r="I80" s="15" t="n">
        <v>90</v>
      </c>
      <c r="J80" s="15"/>
      <c r="K80" s="15" t="n">
        <f aca="false">IFERROR(MAX(0,I80-IF(J80&lt;&gt;"",J80,H80)),"revisar unidad")</f>
        <v>90</v>
      </c>
    </row>
    <row r="81" customFormat="false" ht="15.75" hidden="false" customHeight="true" outlineLevel="0" collapsed="false">
      <c r="A81" s="7" t="s">
        <v>200</v>
      </c>
      <c r="B81" s="7" t="s">
        <v>237</v>
      </c>
      <c r="C81" s="7" t="s">
        <v>57</v>
      </c>
      <c r="D81" s="7"/>
      <c r="E81" s="19" t="s">
        <v>151</v>
      </c>
      <c r="F81" s="7" t="s">
        <v>18</v>
      </c>
      <c r="G81" s="7" t="s">
        <v>19</v>
      </c>
      <c r="H81" s="15" t="n">
        <v>0</v>
      </c>
      <c r="I81" s="15" t="s">
        <v>238</v>
      </c>
      <c r="J81" s="15"/>
      <c r="K81" s="15"/>
    </row>
    <row r="82" customFormat="false" ht="15.75" hidden="false" customHeight="true" outlineLevel="0" collapsed="false">
      <c r="A82" s="7" t="s">
        <v>200</v>
      </c>
      <c r="B82" s="7" t="s">
        <v>239</v>
      </c>
      <c r="C82" s="7" t="s">
        <v>57</v>
      </c>
      <c r="D82" s="7"/>
      <c r="E82" s="19" t="s">
        <v>151</v>
      </c>
      <c r="F82" s="7" t="s">
        <v>18</v>
      </c>
      <c r="G82" s="7" t="s">
        <v>19</v>
      </c>
      <c r="H82" s="15" t="n">
        <v>0</v>
      </c>
      <c r="I82" s="15" t="s">
        <v>238</v>
      </c>
      <c r="J82" s="15"/>
      <c r="K82" s="15"/>
    </row>
    <row r="83" customFormat="false" ht="15.75" hidden="false" customHeight="true" outlineLevel="0" collapsed="false">
      <c r="A83" s="7" t="s">
        <v>200</v>
      </c>
      <c r="B83" s="7" t="s">
        <v>240</v>
      </c>
      <c r="C83" s="7" t="s">
        <v>57</v>
      </c>
      <c r="D83" s="7"/>
      <c r="E83" s="19" t="s">
        <v>151</v>
      </c>
      <c r="F83" s="7" t="s">
        <v>18</v>
      </c>
      <c r="G83" s="7" t="s">
        <v>19</v>
      </c>
      <c r="H83" s="15" t="n">
        <v>0</v>
      </c>
      <c r="I83" s="15" t="s">
        <v>238</v>
      </c>
      <c r="J83" s="15"/>
      <c r="K83" s="15"/>
    </row>
    <row r="84" customFormat="false" ht="15.75" hidden="false" customHeight="true" outlineLevel="0" collapsed="false">
      <c r="A84" s="7" t="s">
        <v>200</v>
      </c>
      <c r="B84" s="7" t="s">
        <v>241</v>
      </c>
      <c r="C84" s="7" t="s">
        <v>57</v>
      </c>
      <c r="D84" s="7"/>
      <c r="E84" s="19" t="s">
        <v>151</v>
      </c>
      <c r="F84" s="7" t="s">
        <v>18</v>
      </c>
      <c r="G84" s="7" t="s">
        <v>19</v>
      </c>
      <c r="H84" s="15" t="n">
        <v>0</v>
      </c>
      <c r="I84" s="15" t="n">
        <v>10</v>
      </c>
      <c r="J84" s="15"/>
      <c r="K84" s="15" t="n">
        <f aca="false">IFERROR(MAX(0,I84-IF(J84&lt;&gt;"",J84,H84)),"revisar unidad")</f>
        <v>10</v>
      </c>
    </row>
    <row r="85" customFormat="false" ht="15.75" hidden="false" customHeight="true" outlineLevel="0" collapsed="false">
      <c r="A85" s="7" t="s">
        <v>200</v>
      </c>
      <c r="B85" s="7" t="s">
        <v>242</v>
      </c>
      <c r="C85" s="7" t="s">
        <v>57</v>
      </c>
      <c r="D85" s="7"/>
      <c r="E85" s="19" t="s">
        <v>151</v>
      </c>
      <c r="F85" s="7" t="s">
        <v>18</v>
      </c>
      <c r="G85" s="7" t="s">
        <v>19</v>
      </c>
      <c r="H85" s="15" t="n">
        <v>0</v>
      </c>
      <c r="I85" s="15" t="s">
        <v>230</v>
      </c>
      <c r="J85" s="15"/>
      <c r="K85" s="15"/>
    </row>
    <row r="86" customFormat="false" ht="15.75" hidden="false" customHeight="true" outlineLevel="0" collapsed="false">
      <c r="A86" s="7" t="s">
        <v>200</v>
      </c>
      <c r="B86" s="7" t="s">
        <v>243</v>
      </c>
      <c r="C86" s="7" t="s">
        <v>57</v>
      </c>
      <c r="D86" s="7"/>
      <c r="E86" s="19" t="s">
        <v>151</v>
      </c>
      <c r="F86" s="7" t="s">
        <v>18</v>
      </c>
      <c r="G86" s="7" t="s">
        <v>19</v>
      </c>
      <c r="H86" s="15" t="n">
        <v>0</v>
      </c>
      <c r="I86" s="15" t="n">
        <v>4</v>
      </c>
      <c r="J86" s="15"/>
      <c r="K86" s="15" t="n">
        <f aca="false">IFERROR(MAX(0,I86-IF(J86&lt;&gt;"",J86,H86)),"revisar unidad")</f>
        <v>4</v>
      </c>
    </row>
    <row r="87" customFormat="false" ht="15.75" hidden="false" customHeight="true" outlineLevel="0" collapsed="false">
      <c r="A87" s="7" t="s">
        <v>200</v>
      </c>
      <c r="B87" s="7" t="s">
        <v>244</v>
      </c>
      <c r="C87" s="7" t="s">
        <v>57</v>
      </c>
      <c r="D87" s="7"/>
      <c r="E87" s="19" t="s">
        <v>151</v>
      </c>
      <c r="F87" s="7" t="s">
        <v>18</v>
      </c>
      <c r="G87" s="7" t="s">
        <v>19</v>
      </c>
      <c r="H87" s="15" t="n">
        <v>0</v>
      </c>
      <c r="I87" s="15" t="s">
        <v>218</v>
      </c>
      <c r="J87" s="15"/>
      <c r="K87" s="15"/>
    </row>
    <row r="88" customFormat="false" ht="15.75" hidden="false" customHeight="true" outlineLevel="0" collapsed="false">
      <c r="A88" s="7" t="s">
        <v>200</v>
      </c>
      <c r="B88" s="7" t="s">
        <v>245</v>
      </c>
      <c r="C88" s="7" t="s">
        <v>57</v>
      </c>
      <c r="D88" s="7"/>
      <c r="E88" s="19" t="s">
        <v>151</v>
      </c>
      <c r="F88" s="7" t="s">
        <v>18</v>
      </c>
      <c r="G88" s="7" t="s">
        <v>19</v>
      </c>
      <c r="H88" s="15" t="n">
        <v>0</v>
      </c>
      <c r="I88" s="15" t="s">
        <v>246</v>
      </c>
      <c r="J88" s="15"/>
      <c r="K88" s="15"/>
    </row>
    <row r="89" customFormat="false" ht="15.75" hidden="false" customHeight="true" outlineLevel="0" collapsed="false">
      <c r="A89" s="7" t="s">
        <v>200</v>
      </c>
      <c r="B89" s="7" t="s">
        <v>247</v>
      </c>
      <c r="C89" s="7" t="s">
        <v>57</v>
      </c>
      <c r="D89" s="7"/>
      <c r="E89" s="19" t="s">
        <v>151</v>
      </c>
      <c r="F89" s="7" t="s">
        <v>18</v>
      </c>
      <c r="G89" s="7" t="s">
        <v>19</v>
      </c>
      <c r="H89" s="15" t="n">
        <v>0</v>
      </c>
      <c r="I89" s="15" t="s">
        <v>248</v>
      </c>
      <c r="J89" s="15"/>
      <c r="K89" s="15"/>
    </row>
    <row r="90" customFormat="false" ht="15.75" hidden="false" customHeight="true" outlineLevel="0" collapsed="false">
      <c r="A90" s="7" t="s">
        <v>200</v>
      </c>
      <c r="B90" s="7" t="s">
        <v>249</v>
      </c>
      <c r="C90" s="7" t="s">
        <v>57</v>
      </c>
      <c r="D90" s="7"/>
      <c r="E90" s="19" t="s">
        <v>151</v>
      </c>
      <c r="F90" s="7" t="s">
        <v>18</v>
      </c>
      <c r="G90" s="7" t="s">
        <v>19</v>
      </c>
      <c r="H90" s="15" t="n">
        <v>0</v>
      </c>
      <c r="I90" s="15" t="s">
        <v>238</v>
      </c>
      <c r="J90" s="15"/>
      <c r="K90" s="15"/>
    </row>
    <row r="91" customFormat="false" ht="15.75" hidden="false" customHeight="true" outlineLevel="0" collapsed="false">
      <c r="A91" s="7" t="s">
        <v>200</v>
      </c>
      <c r="B91" s="7" t="s">
        <v>250</v>
      </c>
      <c r="C91" s="7" t="s">
        <v>57</v>
      </c>
      <c r="D91" s="7"/>
      <c r="E91" s="19" t="s">
        <v>151</v>
      </c>
      <c r="F91" s="7" t="s">
        <v>18</v>
      </c>
      <c r="G91" s="7" t="s">
        <v>19</v>
      </c>
      <c r="H91" s="15" t="n">
        <v>0</v>
      </c>
      <c r="I91" s="15" t="n">
        <v>180</v>
      </c>
      <c r="J91" s="15"/>
      <c r="K91" s="15" t="n">
        <f aca="false">IFERROR(MAX(0,I91-IF(J91&lt;&gt;"",J91,H91)),"revisar unidad")</f>
        <v>180</v>
      </c>
    </row>
    <row r="92" customFormat="false" ht="15.75" hidden="false" customHeight="true" outlineLevel="0" collapsed="false">
      <c r="A92" s="7" t="s">
        <v>200</v>
      </c>
      <c r="B92" s="7" t="s">
        <v>251</v>
      </c>
      <c r="C92" s="7" t="s">
        <v>57</v>
      </c>
      <c r="D92" s="7"/>
      <c r="E92" s="19" t="s">
        <v>151</v>
      </c>
      <c r="F92" s="7" t="s">
        <v>18</v>
      </c>
      <c r="G92" s="7" t="s">
        <v>19</v>
      </c>
      <c r="H92" s="15" t="n">
        <v>0</v>
      </c>
      <c r="I92" s="15" t="n">
        <v>45</v>
      </c>
      <c r="J92" s="15"/>
      <c r="K92" s="15" t="n">
        <f aca="false">IFERROR(MAX(0,I92-IF(J92&lt;&gt;"",J92,H92)),"revisar unidad")</f>
        <v>45</v>
      </c>
    </row>
    <row r="93" customFormat="false" ht="15.75" hidden="false" customHeight="true" outlineLevel="0" collapsed="false">
      <c r="A93" s="7" t="s">
        <v>200</v>
      </c>
      <c r="B93" s="7" t="s">
        <v>252</v>
      </c>
      <c r="C93" s="7" t="s">
        <v>57</v>
      </c>
      <c r="D93" s="7"/>
      <c r="E93" s="19" t="s">
        <v>151</v>
      </c>
      <c r="F93" s="7" t="s">
        <v>18</v>
      </c>
      <c r="G93" s="7" t="s">
        <v>19</v>
      </c>
      <c r="H93" s="15" t="n">
        <v>0</v>
      </c>
      <c r="I93" s="15" t="n">
        <v>100</v>
      </c>
      <c r="J93" s="15"/>
      <c r="K93" s="15" t="n">
        <f aca="false">IFERROR(MAX(0,I93-IF(J93&lt;&gt;"",J93,H93)),"revisar unidad")</f>
        <v>100</v>
      </c>
    </row>
    <row r="94" customFormat="false" ht="15.75" hidden="false" customHeight="true" outlineLevel="0" collapsed="false">
      <c r="A94" s="7" t="s">
        <v>200</v>
      </c>
      <c r="B94" s="7" t="s">
        <v>253</v>
      </c>
      <c r="C94" s="7" t="s">
        <v>57</v>
      </c>
      <c r="D94" s="7"/>
      <c r="E94" s="19" t="s">
        <v>151</v>
      </c>
      <c r="F94" s="7" t="s">
        <v>18</v>
      </c>
      <c r="G94" s="7" t="s">
        <v>19</v>
      </c>
      <c r="H94" s="15" t="n">
        <v>0</v>
      </c>
      <c r="I94" s="15" t="s">
        <v>218</v>
      </c>
      <c r="J94" s="15"/>
      <c r="K94" s="15"/>
    </row>
    <row r="95" customFormat="false" ht="15.75" hidden="false" customHeight="true" outlineLevel="0" collapsed="false">
      <c r="A95" s="7" t="s">
        <v>200</v>
      </c>
      <c r="B95" s="7" t="s">
        <v>254</v>
      </c>
      <c r="C95" s="7" t="s">
        <v>57</v>
      </c>
      <c r="D95" s="7"/>
      <c r="E95" s="19" t="s">
        <v>151</v>
      </c>
      <c r="F95" s="7" t="s">
        <v>18</v>
      </c>
      <c r="G95" s="7" t="s">
        <v>19</v>
      </c>
      <c r="H95" s="15" t="n">
        <v>0</v>
      </c>
      <c r="I95" s="15" t="s">
        <v>255</v>
      </c>
      <c r="J95" s="15"/>
      <c r="K95" s="15"/>
    </row>
    <row r="96" customFormat="false" ht="15.75" hidden="false" customHeight="true" outlineLevel="0" collapsed="false">
      <c r="A96" s="7" t="s">
        <v>200</v>
      </c>
      <c r="B96" s="7" t="s">
        <v>256</v>
      </c>
      <c r="C96" s="7" t="s">
        <v>57</v>
      </c>
      <c r="D96" s="7"/>
      <c r="E96" s="19" t="s">
        <v>151</v>
      </c>
      <c r="F96" s="7" t="s">
        <v>18</v>
      </c>
      <c r="G96" s="7" t="s">
        <v>19</v>
      </c>
      <c r="H96" s="15"/>
      <c r="I96" s="15" t="n">
        <v>90</v>
      </c>
      <c r="J96" s="15"/>
      <c r="K96" s="15" t="n">
        <f aca="false">IFERROR(MAX(0,I96-IF(J96&lt;&gt;"",J96,H96)),"revisar unidad")</f>
        <v>90</v>
      </c>
    </row>
    <row r="97" customFormat="false" ht="15.75" hidden="false" customHeight="true" outlineLevel="0" collapsed="false">
      <c r="A97" s="7" t="s">
        <v>200</v>
      </c>
      <c r="B97" s="7" t="s">
        <v>257</v>
      </c>
      <c r="C97" s="7" t="s">
        <v>57</v>
      </c>
      <c r="D97" s="7"/>
      <c r="E97" s="19" t="s">
        <v>151</v>
      </c>
      <c r="F97" s="7" t="s">
        <v>18</v>
      </c>
      <c r="G97" s="7" t="s">
        <v>19</v>
      </c>
      <c r="H97" s="15" t="n">
        <v>0</v>
      </c>
      <c r="I97" s="15" t="s">
        <v>218</v>
      </c>
      <c r="J97" s="15"/>
      <c r="K97" s="15"/>
    </row>
    <row r="98" customFormat="false" ht="15.75" hidden="false" customHeight="true" outlineLevel="0" collapsed="false">
      <c r="A98" s="7" t="s">
        <v>200</v>
      </c>
      <c r="B98" s="7" t="s">
        <v>258</v>
      </c>
      <c r="C98" s="7" t="s">
        <v>57</v>
      </c>
      <c r="D98" s="7"/>
      <c r="E98" s="19" t="s">
        <v>151</v>
      </c>
      <c r="F98" s="7" t="s">
        <v>18</v>
      </c>
      <c r="G98" s="7" t="s">
        <v>19</v>
      </c>
      <c r="H98" s="15" t="n">
        <v>0</v>
      </c>
      <c r="I98" s="15" t="s">
        <v>218</v>
      </c>
      <c r="J98" s="15"/>
      <c r="K98" s="15"/>
    </row>
    <row r="99" customFormat="false" ht="15.75" hidden="false" customHeight="true" outlineLevel="0" collapsed="false">
      <c r="A99" s="7" t="s">
        <v>200</v>
      </c>
      <c r="B99" s="7" t="s">
        <v>259</v>
      </c>
      <c r="C99" s="7" t="s">
        <v>57</v>
      </c>
      <c r="D99" s="7"/>
      <c r="E99" s="19" t="s">
        <v>151</v>
      </c>
      <c r="F99" s="7" t="s">
        <v>18</v>
      </c>
      <c r="G99" s="7" t="s">
        <v>19</v>
      </c>
      <c r="H99" s="15" t="n">
        <v>0</v>
      </c>
      <c r="I99" s="15" t="s">
        <v>227</v>
      </c>
      <c r="J99" s="15"/>
      <c r="K99" s="15"/>
    </row>
    <row r="100" customFormat="false" ht="15.75" hidden="false" customHeight="true" outlineLevel="0" collapsed="false">
      <c r="A100" s="7" t="s">
        <v>200</v>
      </c>
      <c r="B100" s="7" t="s">
        <v>260</v>
      </c>
      <c r="C100" s="7" t="s">
        <v>57</v>
      </c>
      <c r="D100" s="7"/>
      <c r="E100" s="19" t="s">
        <v>151</v>
      </c>
      <c r="F100" s="7" t="s">
        <v>18</v>
      </c>
      <c r="G100" s="7" t="s">
        <v>19</v>
      </c>
      <c r="H100" s="15" t="n">
        <v>0</v>
      </c>
      <c r="I100" s="15" t="s">
        <v>218</v>
      </c>
      <c r="J100" s="15"/>
      <c r="K100" s="15"/>
    </row>
    <row r="101" customFormat="false" ht="15.75" hidden="false" customHeight="true" outlineLevel="0" collapsed="false">
      <c r="A101" s="7" t="s">
        <v>200</v>
      </c>
      <c r="B101" s="7" t="s">
        <v>261</v>
      </c>
      <c r="C101" s="7" t="s">
        <v>57</v>
      </c>
      <c r="D101" s="7"/>
      <c r="E101" s="19" t="s">
        <v>151</v>
      </c>
      <c r="F101" s="7" t="s">
        <v>18</v>
      </c>
      <c r="G101" s="7" t="s">
        <v>19</v>
      </c>
      <c r="H101" s="15" t="n">
        <v>0</v>
      </c>
      <c r="I101" s="15" t="s">
        <v>262</v>
      </c>
      <c r="J101" s="15"/>
      <c r="K101" s="15"/>
    </row>
    <row r="102" customFormat="false" ht="15.75" hidden="false" customHeight="true" outlineLevel="0" collapsed="false">
      <c r="A102" s="7" t="s">
        <v>200</v>
      </c>
      <c r="B102" s="7" t="s">
        <v>263</v>
      </c>
      <c r="C102" s="7" t="s">
        <v>57</v>
      </c>
      <c r="D102" s="7"/>
      <c r="E102" s="19" t="s">
        <v>151</v>
      </c>
      <c r="F102" s="7" t="s">
        <v>18</v>
      </c>
      <c r="G102" s="7" t="s">
        <v>19</v>
      </c>
      <c r="H102" s="15" t="n">
        <v>0</v>
      </c>
      <c r="I102" s="15" t="n">
        <v>90</v>
      </c>
      <c r="J102" s="15"/>
      <c r="K102" s="15" t="n">
        <f aca="false">IFERROR(MAX(0,I102-IF(J102&lt;&gt;"",J102,H102)),"revisar unidad")</f>
        <v>90</v>
      </c>
    </row>
    <row r="103" customFormat="false" ht="15.75" hidden="false" customHeight="true" outlineLevel="0" collapsed="false">
      <c r="A103" s="7" t="s">
        <v>200</v>
      </c>
      <c r="B103" s="7" t="s">
        <v>264</v>
      </c>
      <c r="C103" s="7" t="s">
        <v>57</v>
      </c>
      <c r="D103" s="7"/>
      <c r="E103" s="19" t="s">
        <v>151</v>
      </c>
      <c r="F103" s="7" t="s">
        <v>18</v>
      </c>
      <c r="G103" s="7" t="s">
        <v>19</v>
      </c>
      <c r="H103" s="15" t="n">
        <v>0</v>
      </c>
      <c r="I103" s="15" t="n">
        <v>2</v>
      </c>
      <c r="J103" s="15"/>
      <c r="K103" s="15" t="n">
        <f aca="false">IFERROR(MAX(0,I103-IF(J103&lt;&gt;"",J103,H103)),"revisar unidad")</f>
        <v>2</v>
      </c>
    </row>
    <row r="104" customFormat="false" ht="15.75" hidden="false" customHeight="true" outlineLevel="0" collapsed="false">
      <c r="A104" s="7" t="s">
        <v>200</v>
      </c>
      <c r="B104" s="7" t="s">
        <v>265</v>
      </c>
      <c r="C104" s="7" t="s">
        <v>57</v>
      </c>
      <c r="D104" s="7"/>
      <c r="E104" s="19" t="s">
        <v>151</v>
      </c>
      <c r="F104" s="7" t="s">
        <v>18</v>
      </c>
      <c r="G104" s="7" t="s">
        <v>19</v>
      </c>
      <c r="H104" s="15" t="n">
        <v>0</v>
      </c>
      <c r="I104" s="15" t="s">
        <v>266</v>
      </c>
      <c r="J104" s="15"/>
      <c r="K104" s="15"/>
    </row>
    <row r="105" customFormat="false" ht="15.75" hidden="false" customHeight="true" outlineLevel="0" collapsed="false">
      <c r="A105" s="7" t="s">
        <v>200</v>
      </c>
      <c r="B105" s="7" t="s">
        <v>267</v>
      </c>
      <c r="C105" s="7" t="s">
        <v>57</v>
      </c>
      <c r="D105" s="7"/>
      <c r="E105" s="19" t="s">
        <v>151</v>
      </c>
      <c r="F105" s="7" t="s">
        <v>18</v>
      </c>
      <c r="G105" s="7" t="s">
        <v>19</v>
      </c>
      <c r="H105" s="15" t="n">
        <v>0</v>
      </c>
      <c r="I105" s="15" t="s">
        <v>227</v>
      </c>
      <c r="J105" s="15"/>
      <c r="K105" s="15"/>
    </row>
    <row r="106" customFormat="false" ht="15.75" hidden="false" customHeight="true" outlineLevel="0" collapsed="false">
      <c r="A106" s="7" t="s">
        <v>200</v>
      </c>
      <c r="B106" s="7" t="s">
        <v>268</v>
      </c>
      <c r="C106" s="7" t="s">
        <v>57</v>
      </c>
      <c r="D106" s="7"/>
      <c r="E106" s="19" t="s">
        <v>151</v>
      </c>
      <c r="F106" s="7" t="s">
        <v>18</v>
      </c>
      <c r="G106" s="7" t="s">
        <v>19</v>
      </c>
      <c r="H106" s="15" t="n">
        <v>0</v>
      </c>
      <c r="I106" s="15" t="s">
        <v>269</v>
      </c>
      <c r="J106" s="15"/>
      <c r="K106" s="15"/>
    </row>
    <row r="107" customFormat="false" ht="15.75" hidden="false" customHeight="true" outlineLevel="0" collapsed="false">
      <c r="A107" s="7" t="s">
        <v>200</v>
      </c>
      <c r="B107" s="7" t="s">
        <v>270</v>
      </c>
      <c r="C107" s="7" t="s">
        <v>57</v>
      </c>
      <c r="D107" s="7"/>
      <c r="E107" s="19" t="s">
        <v>151</v>
      </c>
      <c r="F107" s="7" t="s">
        <v>18</v>
      </c>
      <c r="G107" s="7" t="s">
        <v>19</v>
      </c>
      <c r="H107" s="15" t="n">
        <v>0</v>
      </c>
      <c r="I107" s="15" t="s">
        <v>202</v>
      </c>
      <c r="J107" s="15"/>
      <c r="K107" s="15"/>
    </row>
    <row r="108" customFormat="false" ht="15.75" hidden="false" customHeight="true" outlineLevel="0" collapsed="false">
      <c r="A108" s="7" t="s">
        <v>200</v>
      </c>
      <c r="B108" s="7" t="s">
        <v>271</v>
      </c>
      <c r="C108" s="7" t="s">
        <v>57</v>
      </c>
      <c r="D108" s="7"/>
      <c r="E108" s="19" t="s">
        <v>151</v>
      </c>
      <c r="F108" s="7" t="s">
        <v>18</v>
      </c>
      <c r="G108" s="7" t="s">
        <v>19</v>
      </c>
      <c r="H108" s="15" t="n">
        <v>0</v>
      </c>
      <c r="I108" s="15" t="s">
        <v>272</v>
      </c>
      <c r="J108" s="15"/>
      <c r="K108" s="15"/>
    </row>
    <row r="109" customFormat="false" ht="15.75" hidden="false" customHeight="true" outlineLevel="0" collapsed="false">
      <c r="A109" s="7" t="s">
        <v>200</v>
      </c>
      <c r="B109" s="7" t="s">
        <v>273</v>
      </c>
      <c r="C109" s="7" t="s">
        <v>57</v>
      </c>
      <c r="D109" s="7"/>
      <c r="E109" s="19" t="s">
        <v>151</v>
      </c>
      <c r="F109" s="7" t="s">
        <v>18</v>
      </c>
      <c r="G109" s="7" t="s">
        <v>19</v>
      </c>
      <c r="H109" s="15" t="n">
        <v>0</v>
      </c>
      <c r="I109" s="15" t="s">
        <v>218</v>
      </c>
      <c r="J109" s="15"/>
      <c r="K109" s="15"/>
    </row>
    <row r="110" customFormat="false" ht="15.75" hidden="false" customHeight="true" outlineLevel="0" collapsed="false">
      <c r="A110" s="7" t="s">
        <v>200</v>
      </c>
      <c r="B110" s="7" t="s">
        <v>274</v>
      </c>
      <c r="C110" s="7" t="s">
        <v>57</v>
      </c>
      <c r="D110" s="7"/>
      <c r="E110" s="19" t="s">
        <v>151</v>
      </c>
      <c r="F110" s="7" t="s">
        <v>18</v>
      </c>
      <c r="G110" s="7" t="s">
        <v>19</v>
      </c>
      <c r="H110" s="15" t="n">
        <v>0</v>
      </c>
      <c r="I110" s="15" t="s">
        <v>275</v>
      </c>
      <c r="J110" s="15"/>
      <c r="K110" s="15"/>
    </row>
    <row r="111" customFormat="false" ht="15.75" hidden="false" customHeight="true" outlineLevel="0" collapsed="false">
      <c r="A111" s="7" t="s">
        <v>200</v>
      </c>
      <c r="B111" s="7" t="s">
        <v>276</v>
      </c>
      <c r="C111" s="7" t="s">
        <v>57</v>
      </c>
      <c r="D111" s="7"/>
      <c r="E111" s="19" t="s">
        <v>151</v>
      </c>
      <c r="F111" s="7" t="s">
        <v>18</v>
      </c>
      <c r="G111" s="7" t="s">
        <v>19</v>
      </c>
      <c r="H111" s="15" t="n">
        <v>0</v>
      </c>
      <c r="I111" s="15" t="n">
        <v>10</v>
      </c>
      <c r="J111" s="15"/>
      <c r="K111" s="15" t="n">
        <f aca="false">IFERROR(MAX(0,I111-IF(J111&lt;&gt;"",J111,H111)),"revisar unidad")</f>
        <v>10</v>
      </c>
    </row>
    <row r="112" customFormat="false" ht="15.75" hidden="false" customHeight="true" outlineLevel="0" collapsed="false">
      <c r="A112" s="7" t="s">
        <v>200</v>
      </c>
      <c r="B112" s="7" t="s">
        <v>277</v>
      </c>
      <c r="C112" s="7" t="s">
        <v>57</v>
      </c>
      <c r="D112" s="7"/>
      <c r="E112" s="19" t="s">
        <v>151</v>
      </c>
      <c r="F112" s="7" t="s">
        <v>18</v>
      </c>
      <c r="G112" s="7" t="s">
        <v>19</v>
      </c>
      <c r="H112" s="15" t="n">
        <v>0</v>
      </c>
      <c r="I112" s="15" t="n">
        <v>5</v>
      </c>
      <c r="J112" s="15"/>
      <c r="K112" s="15" t="n">
        <f aca="false">IFERROR(MAX(0,I112-IF(J112&lt;&gt;"",J112,H112)),"revisar unidad")</f>
        <v>5</v>
      </c>
    </row>
    <row r="113" customFormat="false" ht="15.75" hidden="false" customHeight="true" outlineLevel="0" collapsed="false">
      <c r="A113" s="7" t="s">
        <v>148</v>
      </c>
      <c r="B113" s="7" t="s">
        <v>278</v>
      </c>
      <c r="C113" s="7" t="s">
        <v>15</v>
      </c>
      <c r="D113" s="7" t="s">
        <v>279</v>
      </c>
      <c r="E113" s="19" t="s">
        <v>151</v>
      </c>
      <c r="F113" s="7" t="s">
        <v>59</v>
      </c>
      <c r="G113" s="7" t="s">
        <v>19</v>
      </c>
      <c r="H113" s="15" t="n">
        <v>5</v>
      </c>
      <c r="I113" s="15" t="n">
        <v>5</v>
      </c>
      <c r="J113" s="15"/>
      <c r="K113" s="15" t="n">
        <f aca="false">IFERROR(MAX(0,I113-IF(J113&lt;&gt;"",J113,H113)),"revisar unidad")</f>
        <v>0</v>
      </c>
    </row>
    <row r="114" customFormat="false" ht="15.75" hidden="false" customHeight="true" outlineLevel="0" collapsed="false">
      <c r="A114" s="7" t="s">
        <v>148</v>
      </c>
      <c r="B114" s="7" t="s">
        <v>280</v>
      </c>
      <c r="C114" s="7" t="s">
        <v>15</v>
      </c>
      <c r="D114" s="7" t="s">
        <v>279</v>
      </c>
      <c r="E114" s="19" t="s">
        <v>151</v>
      </c>
      <c r="F114" s="7" t="s">
        <v>59</v>
      </c>
      <c r="G114" s="7" t="s">
        <v>19</v>
      </c>
      <c r="H114" s="15" t="s">
        <v>72</v>
      </c>
      <c r="I114" s="15" t="s">
        <v>202</v>
      </c>
      <c r="J114" s="15"/>
      <c r="K114" s="15"/>
    </row>
    <row r="115" customFormat="false" ht="15.75" hidden="false" customHeight="true" outlineLevel="0" collapsed="false">
      <c r="A115" s="7" t="s">
        <v>148</v>
      </c>
      <c r="B115" s="7" t="s">
        <v>281</v>
      </c>
      <c r="C115" s="7" t="s">
        <v>15</v>
      </c>
      <c r="D115" s="7" t="s">
        <v>279</v>
      </c>
      <c r="E115" s="19" t="s">
        <v>151</v>
      </c>
      <c r="F115" s="7" t="s">
        <v>59</v>
      </c>
      <c r="G115" s="7" t="s">
        <v>19</v>
      </c>
      <c r="H115" s="15" t="s">
        <v>282</v>
      </c>
      <c r="I115" s="15" t="s">
        <v>73</v>
      </c>
      <c r="J115" s="15"/>
      <c r="K115" s="15"/>
    </row>
    <row r="116" customFormat="false" ht="15.75" hidden="false" customHeight="true" outlineLevel="0" collapsed="false">
      <c r="A116" s="7" t="s">
        <v>148</v>
      </c>
      <c r="B116" s="7" t="s">
        <v>283</v>
      </c>
      <c r="C116" s="7" t="s">
        <v>15</v>
      </c>
      <c r="D116" s="7" t="s">
        <v>279</v>
      </c>
      <c r="E116" s="19" t="s">
        <v>151</v>
      </c>
      <c r="F116" s="7" t="s">
        <v>59</v>
      </c>
      <c r="G116" s="7" t="s">
        <v>19</v>
      </c>
      <c r="H116" s="15" t="n">
        <v>1</v>
      </c>
      <c r="I116" s="15" t="n">
        <v>1</v>
      </c>
      <c r="J116" s="15"/>
      <c r="K116" s="15" t="n">
        <f aca="false">IFERROR(MAX(0,I116-IF(J116&lt;&gt;"",J116,H116)),"revisar unidad")</f>
        <v>0</v>
      </c>
    </row>
    <row r="117" customFormat="false" ht="15.75" hidden="false" customHeight="true" outlineLevel="0" collapsed="false">
      <c r="A117" s="7" t="s">
        <v>148</v>
      </c>
      <c r="B117" s="7" t="s">
        <v>284</v>
      </c>
      <c r="C117" s="7" t="s">
        <v>15</v>
      </c>
      <c r="D117" s="7" t="s">
        <v>279</v>
      </c>
      <c r="E117" s="19" t="s">
        <v>151</v>
      </c>
      <c r="F117" s="7" t="s">
        <v>59</v>
      </c>
      <c r="G117" s="7" t="s">
        <v>19</v>
      </c>
      <c r="H117" s="15" t="n">
        <v>1</v>
      </c>
      <c r="I117" s="15" t="n">
        <v>1</v>
      </c>
      <c r="J117" s="15"/>
      <c r="K117" s="15" t="n">
        <f aca="false">IFERROR(MAX(0,I117-IF(J117&lt;&gt;"",J117,H117)),"revisar unidad")</f>
        <v>0</v>
      </c>
    </row>
    <row r="118" customFormat="false" ht="15.75" hidden="false" customHeight="true" outlineLevel="0" collapsed="false">
      <c r="A118" s="7" t="s">
        <v>148</v>
      </c>
      <c r="B118" s="7" t="s">
        <v>285</v>
      </c>
      <c r="C118" s="7" t="s">
        <v>15</v>
      </c>
      <c r="D118" s="7" t="s">
        <v>279</v>
      </c>
      <c r="E118" s="19" t="s">
        <v>151</v>
      </c>
      <c r="F118" s="7" t="s">
        <v>59</v>
      </c>
      <c r="G118" s="7" t="s">
        <v>19</v>
      </c>
      <c r="H118" s="15" t="n">
        <v>1</v>
      </c>
      <c r="I118" s="15" t="n">
        <v>1</v>
      </c>
      <c r="J118" s="15"/>
      <c r="K118" s="15" t="n">
        <f aca="false">IFERROR(MAX(0,I118-IF(J118&lt;&gt;"",J118,H118)),"revisar unidad")</f>
        <v>0</v>
      </c>
    </row>
    <row r="119" customFormat="false" ht="15.75" hidden="false" customHeight="true" outlineLevel="0" collapsed="false">
      <c r="A119" s="7" t="s">
        <v>148</v>
      </c>
      <c r="B119" s="7" t="s">
        <v>286</v>
      </c>
      <c r="C119" s="7" t="s">
        <v>15</v>
      </c>
      <c r="D119" s="7" t="s">
        <v>279</v>
      </c>
      <c r="E119" s="19" t="s">
        <v>151</v>
      </c>
      <c r="F119" s="7" t="s">
        <v>59</v>
      </c>
      <c r="G119" s="7" t="s">
        <v>19</v>
      </c>
      <c r="H119" s="15" t="s">
        <v>287</v>
      </c>
      <c r="I119" s="15" t="s">
        <v>287</v>
      </c>
      <c r="J119" s="15"/>
      <c r="K119" s="15"/>
    </row>
    <row r="120" customFormat="false" ht="15.75" hidden="false" customHeight="true" outlineLevel="0" collapsed="false">
      <c r="A120" s="9" t="s">
        <v>66</v>
      </c>
      <c r="B120" s="9" t="s">
        <v>288</v>
      </c>
      <c r="C120" s="9"/>
      <c r="D120" s="9"/>
      <c r="E120" s="8" t="s">
        <v>58</v>
      </c>
      <c r="F120" s="9" t="s">
        <v>18</v>
      </c>
      <c r="G120" s="7" t="s">
        <v>39</v>
      </c>
      <c r="H120" s="15" t="n">
        <v>10</v>
      </c>
      <c r="I120" s="15" t="n">
        <v>30</v>
      </c>
      <c r="J120" s="15"/>
      <c r="K120" s="15" t="n">
        <f aca="false">IFERROR(MAX(0,I120-IF(J120&lt;&gt;"",J120,H120)),"revisar unidad")</f>
        <v>20</v>
      </c>
    </row>
    <row r="121" customFormat="false" ht="23.25" hidden="false" customHeight="true" outlineLevel="0" collapsed="false">
      <c r="A121" s="9" t="s">
        <v>66</v>
      </c>
      <c r="B121" s="9" t="s">
        <v>289</v>
      </c>
      <c r="C121" s="9"/>
      <c r="D121" s="9"/>
      <c r="E121" s="8" t="s">
        <v>50</v>
      </c>
      <c r="F121" s="9" t="s">
        <v>18</v>
      </c>
      <c r="G121" s="20" t="n">
        <v>46267</v>
      </c>
      <c r="H121" s="15" t="n">
        <v>2</v>
      </c>
      <c r="I121" s="15" t="n">
        <v>4</v>
      </c>
      <c r="J121" s="15"/>
      <c r="K121" s="15" t="n">
        <f aca="false">IFERROR(MAX(0,I121-IF(J121&lt;&gt;"",J121,H121)),"revisar unidad")</f>
        <v>2</v>
      </c>
    </row>
    <row r="122" customFormat="false" ht="23.25" hidden="false" customHeight="true" outlineLevel="0" collapsed="false">
      <c r="A122" s="9" t="s">
        <v>66</v>
      </c>
      <c r="B122" s="9" t="s">
        <v>290</v>
      </c>
      <c r="C122" s="9"/>
      <c r="D122" s="9"/>
      <c r="E122" s="8" t="s">
        <v>50</v>
      </c>
      <c r="F122" s="9" t="s">
        <v>18</v>
      </c>
      <c r="G122" s="20" t="n">
        <v>46267</v>
      </c>
      <c r="H122" s="15" t="n">
        <v>0</v>
      </c>
      <c r="I122" s="15" t="n">
        <v>6</v>
      </c>
      <c r="J122" s="15"/>
      <c r="K122" s="15" t="n">
        <f aca="false">IFERROR(MAX(0,I122-IF(J122&lt;&gt;"",J122,H122)),"revisar unidad")</f>
        <v>6</v>
      </c>
    </row>
    <row r="123" customFormat="false" ht="23.25" hidden="false" customHeight="true" outlineLevel="0" collapsed="false">
      <c r="A123" s="9" t="s">
        <v>70</v>
      </c>
      <c r="B123" s="9" t="s">
        <v>291</v>
      </c>
      <c r="C123" s="9"/>
      <c r="D123" s="9"/>
      <c r="E123" s="8" t="s">
        <v>58</v>
      </c>
      <c r="F123" s="9" t="s">
        <v>18</v>
      </c>
      <c r="G123" s="20" t="n">
        <v>46267</v>
      </c>
      <c r="H123" s="15" t="n">
        <v>0</v>
      </c>
      <c r="I123" s="15" t="n">
        <v>30</v>
      </c>
      <c r="J123" s="15"/>
      <c r="K123" s="15" t="n">
        <f aca="false">IFERROR(MAX(0,I123-IF(J123&lt;&gt;"",J123,H123)),"revisar unidad")</f>
        <v>30</v>
      </c>
    </row>
    <row r="124" customFormat="false" ht="23.25" hidden="false" customHeight="true" outlineLevel="0" collapsed="false">
      <c r="A124" s="9" t="s">
        <v>70</v>
      </c>
      <c r="B124" s="9" t="s">
        <v>292</v>
      </c>
      <c r="C124" s="9"/>
      <c r="D124" s="9"/>
      <c r="E124" s="8" t="s">
        <v>58</v>
      </c>
      <c r="F124" s="9" t="s">
        <v>18</v>
      </c>
      <c r="G124" s="20" t="n">
        <v>46267</v>
      </c>
      <c r="H124" s="15" t="n">
        <v>0</v>
      </c>
      <c r="I124" s="15" t="n">
        <v>1</v>
      </c>
      <c r="J124" s="15"/>
      <c r="K124" s="15" t="n">
        <f aca="false">IFERROR(MAX(0,I124-IF(J124&lt;&gt;"",J124,H124)),"revisar unidad")</f>
        <v>1</v>
      </c>
    </row>
    <row r="125" customFormat="false" ht="23.25" hidden="false" customHeight="true" outlineLevel="0" collapsed="false">
      <c r="A125" s="9" t="s">
        <v>70</v>
      </c>
      <c r="B125" s="9" t="s">
        <v>293</v>
      </c>
      <c r="C125" s="9"/>
      <c r="D125" s="9"/>
      <c r="E125" s="8" t="s">
        <v>50</v>
      </c>
      <c r="F125" s="9" t="s">
        <v>18</v>
      </c>
      <c r="G125" s="20" t="n">
        <v>46267</v>
      </c>
      <c r="H125" s="15" t="n">
        <v>0</v>
      </c>
      <c r="I125" s="15" t="n">
        <v>3</v>
      </c>
      <c r="J125" s="15"/>
      <c r="K125" s="15" t="n">
        <f aca="false">IFERROR(MAX(0,I125-IF(J125&lt;&gt;"",J125,H125)),"revisar unidad")</f>
        <v>3</v>
      </c>
    </row>
    <row r="126" customFormat="false" ht="23.25" hidden="false" customHeight="true" outlineLevel="0" collapsed="false">
      <c r="A126" s="9" t="s">
        <v>70</v>
      </c>
      <c r="B126" s="9" t="s">
        <v>294</v>
      </c>
      <c r="C126" s="9"/>
      <c r="D126" s="9"/>
      <c r="E126" s="8" t="s">
        <v>58</v>
      </c>
      <c r="F126" s="9" t="s">
        <v>18</v>
      </c>
      <c r="G126" s="20" t="n">
        <v>46267</v>
      </c>
      <c r="H126" s="15" t="n">
        <v>0</v>
      </c>
      <c r="I126" s="15" t="n">
        <v>30</v>
      </c>
      <c r="J126" s="15"/>
      <c r="K126" s="15" t="n">
        <f aca="false">IFERROR(MAX(0,I126-IF(J126&lt;&gt;"",J126,H126)),"revisar unidad")</f>
        <v>30</v>
      </c>
    </row>
    <row r="127" customFormat="false" ht="15.75" hidden="false" customHeight="true" outlineLevel="0" collapsed="false">
      <c r="A127" s="9" t="s">
        <v>66</v>
      </c>
      <c r="B127" s="9" t="s">
        <v>295</v>
      </c>
      <c r="C127" s="9"/>
      <c r="D127" s="9"/>
      <c r="E127" s="8" t="s">
        <v>50</v>
      </c>
      <c r="F127" s="9" t="s">
        <v>59</v>
      </c>
      <c r="G127" s="20" t="n">
        <v>46267</v>
      </c>
      <c r="H127" s="15" t="n">
        <v>1</v>
      </c>
      <c r="I127" s="15" t="n">
        <v>1</v>
      </c>
      <c r="J127" s="15"/>
      <c r="K127" s="15" t="n">
        <f aca="false">IFERROR(MAX(0,I127-IF(J127&lt;&gt;"",J127,H127)),"revisar unidad")</f>
        <v>0</v>
      </c>
    </row>
    <row r="128" customFormat="false" ht="15.75" hidden="false" customHeight="true" outlineLevel="0" collapsed="false">
      <c r="A128" s="9" t="s">
        <v>66</v>
      </c>
      <c r="B128" s="9" t="s">
        <v>296</v>
      </c>
      <c r="C128" s="9"/>
      <c r="D128" s="9"/>
      <c r="E128" s="8" t="s">
        <v>50</v>
      </c>
      <c r="F128" s="9" t="s">
        <v>59</v>
      </c>
      <c r="G128" s="20" t="n">
        <v>46267</v>
      </c>
      <c r="H128" s="15" t="n">
        <v>2</v>
      </c>
      <c r="I128" s="15" t="n">
        <v>2</v>
      </c>
      <c r="J128" s="15"/>
      <c r="K128" s="15" t="n">
        <f aca="false">IFERROR(MAX(0,I128-IF(J128&lt;&gt;"",J128,H128)),"revisar unidad")</f>
        <v>0</v>
      </c>
    </row>
    <row r="129" customFormat="false" ht="15.75" hidden="false" customHeight="true" outlineLevel="0" collapsed="false">
      <c r="A129" s="9" t="s">
        <v>66</v>
      </c>
      <c r="B129" s="9" t="s">
        <v>297</v>
      </c>
      <c r="C129" s="9"/>
      <c r="D129" s="9"/>
      <c r="E129" s="8" t="s">
        <v>50</v>
      </c>
      <c r="F129" s="9" t="s">
        <v>59</v>
      </c>
      <c r="G129" s="20" t="n">
        <v>46267</v>
      </c>
      <c r="H129" s="15" t="n">
        <v>5</v>
      </c>
      <c r="I129" s="15" t="n">
        <v>5</v>
      </c>
      <c r="J129" s="15"/>
      <c r="K129" s="15" t="n">
        <f aca="false">IFERROR(MAX(0,I129-IF(J129&lt;&gt;"",J129,H129)),"revisar unidad")</f>
        <v>0</v>
      </c>
    </row>
    <row r="130" customFormat="false" ht="15.75" hidden="false" customHeight="true" outlineLevel="0" collapsed="false">
      <c r="A130" s="9" t="s">
        <v>66</v>
      </c>
      <c r="B130" s="9" t="s">
        <v>298</v>
      </c>
      <c r="C130" s="9"/>
      <c r="D130" s="9"/>
      <c r="E130" s="8" t="s">
        <v>50</v>
      </c>
      <c r="F130" s="9" t="s">
        <v>59</v>
      </c>
      <c r="G130" s="20" t="n">
        <v>46267</v>
      </c>
      <c r="H130" s="15" t="n">
        <v>1</v>
      </c>
      <c r="I130" s="15" t="s">
        <v>299</v>
      </c>
      <c r="J130" s="15"/>
      <c r="K130" s="15"/>
    </row>
    <row r="131" customFormat="false" ht="15.75" hidden="false" customHeight="true" outlineLevel="0" collapsed="false">
      <c r="A131" s="9" t="s">
        <v>66</v>
      </c>
      <c r="B131" s="9" t="s">
        <v>300</v>
      </c>
      <c r="C131" s="9"/>
      <c r="D131" s="9"/>
      <c r="E131" s="8" t="s">
        <v>50</v>
      </c>
      <c r="F131" s="9" t="s">
        <v>59</v>
      </c>
      <c r="G131" s="20" t="n">
        <v>46267</v>
      </c>
      <c r="H131" s="15" t="n">
        <v>1</v>
      </c>
      <c r="I131" s="15" t="n">
        <v>1</v>
      </c>
      <c r="J131" s="15"/>
      <c r="K131" s="15" t="n">
        <f aca="false">IFERROR(MAX(0,I131-IF(J131&lt;&gt;"",J131,H131)),"revisar unidad")</f>
        <v>0</v>
      </c>
    </row>
    <row r="132" customFormat="false" ht="15.75" hidden="false" customHeight="true" outlineLevel="0" collapsed="false">
      <c r="A132" s="9" t="s">
        <v>66</v>
      </c>
      <c r="B132" s="9" t="s">
        <v>301</v>
      </c>
      <c r="C132" s="9"/>
      <c r="D132" s="9"/>
      <c r="E132" s="8" t="s">
        <v>50</v>
      </c>
      <c r="F132" s="9" t="s">
        <v>59</v>
      </c>
      <c r="G132" s="20" t="n">
        <v>46267</v>
      </c>
      <c r="H132" s="15" t="n">
        <v>1</v>
      </c>
      <c r="I132" s="15" t="n">
        <v>1</v>
      </c>
      <c r="J132" s="15"/>
      <c r="K132" s="15" t="n">
        <f aca="false">IFERROR(MAX(0,I132-IF(J132&lt;&gt;"",J132,H132)),"revisar unidad")</f>
        <v>0</v>
      </c>
    </row>
    <row r="133" customFormat="false" ht="15.75" hidden="false" customHeight="true" outlineLevel="0" collapsed="false">
      <c r="A133" s="9" t="s">
        <v>66</v>
      </c>
      <c r="B133" s="9" t="s">
        <v>302</v>
      </c>
      <c r="C133" s="9"/>
      <c r="D133" s="9"/>
      <c r="E133" s="8" t="s">
        <v>50</v>
      </c>
      <c r="F133" s="9" t="s">
        <v>59</v>
      </c>
      <c r="G133" s="20" t="n">
        <v>46267</v>
      </c>
      <c r="H133" s="15" t="n">
        <v>3</v>
      </c>
      <c r="I133" s="15" t="n">
        <v>2</v>
      </c>
      <c r="J133" s="15"/>
      <c r="K133" s="15" t="n">
        <f aca="false">IFERROR(MAX(0,I133-IF(J133&lt;&gt;"",J133,H133)),"revisar unidad")</f>
        <v>0</v>
      </c>
    </row>
    <row r="134" customFormat="false" ht="15.75" hidden="false" customHeight="true" outlineLevel="0" collapsed="false">
      <c r="A134" s="9" t="s">
        <v>66</v>
      </c>
      <c r="B134" s="9" t="s">
        <v>303</v>
      </c>
      <c r="C134" s="9"/>
      <c r="D134" s="9"/>
      <c r="E134" s="8" t="s">
        <v>50</v>
      </c>
      <c r="F134" s="9" t="s">
        <v>59</v>
      </c>
      <c r="G134" s="20" t="n">
        <v>46267</v>
      </c>
      <c r="H134" s="15" t="n">
        <v>5</v>
      </c>
      <c r="I134" s="15" t="n">
        <v>5</v>
      </c>
      <c r="J134" s="15"/>
      <c r="K134" s="15" t="n">
        <f aca="false">IFERROR(MAX(0,I134-IF(J134&lt;&gt;"",J134,H134)),"revisar unidad")</f>
        <v>0</v>
      </c>
    </row>
    <row r="135" customFormat="false" ht="15.75" hidden="false" customHeight="true" outlineLevel="0" collapsed="false">
      <c r="A135" s="9" t="s">
        <v>66</v>
      </c>
      <c r="B135" s="9" t="s">
        <v>304</v>
      </c>
      <c r="C135" s="9"/>
      <c r="D135" s="9"/>
      <c r="E135" s="8" t="s">
        <v>50</v>
      </c>
      <c r="F135" s="9" t="s">
        <v>59</v>
      </c>
      <c r="G135" s="20" t="n">
        <v>46267</v>
      </c>
      <c r="H135" s="15" t="n">
        <v>2</v>
      </c>
      <c r="I135" s="15" t="n">
        <v>2</v>
      </c>
      <c r="J135" s="15"/>
      <c r="K135" s="15" t="n">
        <f aca="false">IFERROR(MAX(0,I135-IF(J135&lt;&gt;"",J135,H135)),"revisar unidad")</f>
        <v>0</v>
      </c>
    </row>
    <row r="136" customFormat="false" ht="15.75" hidden="false" customHeight="true" outlineLevel="0" collapsed="false">
      <c r="A136" s="9" t="s">
        <v>66</v>
      </c>
      <c r="B136" s="9" t="s">
        <v>305</v>
      </c>
      <c r="C136" s="9"/>
      <c r="D136" s="9"/>
      <c r="E136" s="8" t="s">
        <v>50</v>
      </c>
      <c r="F136" s="9" t="s">
        <v>59</v>
      </c>
      <c r="G136" s="20" t="n">
        <v>46267</v>
      </c>
      <c r="H136" s="15" t="n">
        <v>1</v>
      </c>
      <c r="I136" s="15" t="n">
        <v>1</v>
      </c>
      <c r="J136" s="15"/>
      <c r="K136" s="15" t="n">
        <f aca="false">IFERROR(MAX(0,I136-IF(J136&lt;&gt;"",J136,H136)),"revisar unidad")</f>
        <v>0</v>
      </c>
    </row>
    <row r="137" customFormat="false" ht="15.75" hidden="false" customHeight="true" outlineLevel="0" collapsed="false">
      <c r="A137" s="9" t="s">
        <v>66</v>
      </c>
      <c r="B137" s="9" t="s">
        <v>306</v>
      </c>
      <c r="C137" s="9"/>
      <c r="D137" s="9"/>
      <c r="E137" s="8" t="s">
        <v>50</v>
      </c>
      <c r="F137" s="9" t="s">
        <v>59</v>
      </c>
      <c r="G137" s="20" t="n">
        <v>46267</v>
      </c>
      <c r="H137" s="15" t="n">
        <v>1</v>
      </c>
      <c r="I137" s="15" t="n">
        <v>1</v>
      </c>
      <c r="J137" s="15"/>
      <c r="K137" s="15" t="n">
        <f aca="false">IFERROR(MAX(0,I137-IF(J137&lt;&gt;"",J137,H137)),"revisar unidad")</f>
        <v>0</v>
      </c>
    </row>
    <row r="138" customFormat="false" ht="15.75" hidden="false" customHeight="true" outlineLevel="0" collapsed="false">
      <c r="A138" s="9" t="s">
        <v>66</v>
      </c>
      <c r="B138" s="9" t="s">
        <v>307</v>
      </c>
      <c r="C138" s="9"/>
      <c r="D138" s="9"/>
      <c r="E138" s="8" t="s">
        <v>50</v>
      </c>
      <c r="F138" s="9" t="s">
        <v>59</v>
      </c>
      <c r="G138" s="20" t="n">
        <v>46267</v>
      </c>
      <c r="H138" s="15" t="s">
        <v>308</v>
      </c>
      <c r="I138" s="15" t="s">
        <v>309</v>
      </c>
      <c r="J138" s="15"/>
      <c r="K138" s="15"/>
    </row>
    <row r="139" customFormat="false" ht="15.75" hidden="false" customHeight="true" outlineLevel="0" collapsed="false">
      <c r="A139" s="9" t="s">
        <v>66</v>
      </c>
      <c r="B139" s="9" t="s">
        <v>310</v>
      </c>
      <c r="C139" s="9"/>
      <c r="D139" s="9"/>
      <c r="E139" s="8" t="s">
        <v>50</v>
      </c>
      <c r="F139" s="9" t="s">
        <v>59</v>
      </c>
      <c r="G139" s="20" t="n">
        <v>46267</v>
      </c>
      <c r="H139" s="15" t="n">
        <v>1</v>
      </c>
      <c r="I139" s="15" t="n">
        <v>1</v>
      </c>
      <c r="J139" s="15"/>
      <c r="K139" s="15" t="n">
        <f aca="false">IFERROR(MAX(0,I139-IF(J139&lt;&gt;"",J139,H139)),"revisar unidad")</f>
        <v>0</v>
      </c>
    </row>
    <row r="140" customFormat="false" ht="15.75" hidden="false" customHeight="true" outlineLevel="0" collapsed="false">
      <c r="A140" s="9" t="s">
        <v>66</v>
      </c>
      <c r="B140" s="9" t="s">
        <v>311</v>
      </c>
      <c r="C140" s="9"/>
      <c r="D140" s="9"/>
      <c r="E140" s="8" t="s">
        <v>50</v>
      </c>
      <c r="F140" s="9" t="s">
        <v>59</v>
      </c>
      <c r="G140" s="20" t="n">
        <v>46267</v>
      </c>
      <c r="H140" s="15" t="n">
        <v>1</v>
      </c>
      <c r="I140" s="15" t="n">
        <v>1</v>
      </c>
      <c r="J140" s="15"/>
      <c r="K140" s="15" t="n">
        <f aca="false">IFERROR(MAX(0,I140-IF(J140&lt;&gt;"",J140,H140)),"revisar unidad")</f>
        <v>0</v>
      </c>
    </row>
    <row r="141" customFormat="false" ht="15.75" hidden="false" customHeight="true" outlineLevel="0" collapsed="false">
      <c r="A141" s="9" t="s">
        <v>66</v>
      </c>
      <c r="B141" s="9" t="s">
        <v>312</v>
      </c>
      <c r="C141" s="9"/>
      <c r="D141" s="9"/>
      <c r="E141" s="8" t="s">
        <v>50</v>
      </c>
      <c r="F141" s="9" t="s">
        <v>59</v>
      </c>
      <c r="G141" s="20" t="n">
        <v>46267</v>
      </c>
      <c r="H141" s="15" t="n">
        <v>2</v>
      </c>
      <c r="I141" s="15" t="n">
        <v>2</v>
      </c>
      <c r="J141" s="15"/>
      <c r="K141" s="15" t="n">
        <f aca="false">IFERROR(MAX(0,I141-IF(J141&lt;&gt;"",J141,H141)),"revisar unidad")</f>
        <v>0</v>
      </c>
    </row>
    <row r="142" customFormat="false" ht="15.75" hidden="false" customHeight="true" outlineLevel="0" collapsed="false">
      <c r="A142" s="9" t="s">
        <v>66</v>
      </c>
      <c r="B142" s="9" t="s">
        <v>313</v>
      </c>
      <c r="C142" s="9"/>
      <c r="D142" s="9"/>
      <c r="E142" s="8" t="s">
        <v>50</v>
      </c>
      <c r="F142" s="9" t="s">
        <v>59</v>
      </c>
      <c r="G142" s="20" t="n">
        <v>46267</v>
      </c>
      <c r="H142" s="15" t="n">
        <v>2</v>
      </c>
      <c r="I142" s="15" t="n">
        <v>0</v>
      </c>
      <c r="J142" s="15"/>
      <c r="K142" s="15" t="n">
        <f aca="false">IFERROR(MAX(0,I142-IF(J142&lt;&gt;"",J142,H142)),"revisar unidad")</f>
        <v>0</v>
      </c>
    </row>
    <row r="143" customFormat="false" ht="15.75" hidden="false" customHeight="true" outlineLevel="0" collapsed="false">
      <c r="A143" s="9" t="s">
        <v>66</v>
      </c>
      <c r="B143" s="9" t="s">
        <v>314</v>
      </c>
      <c r="C143" s="9"/>
      <c r="D143" s="9"/>
      <c r="E143" s="8" t="s">
        <v>50</v>
      </c>
      <c r="F143" s="9" t="s">
        <v>59</v>
      </c>
      <c r="G143" s="20" t="n">
        <v>46267</v>
      </c>
      <c r="H143" s="15" t="n">
        <v>2</v>
      </c>
      <c r="I143" s="15" t="n">
        <v>2</v>
      </c>
      <c r="J143" s="15"/>
      <c r="K143" s="15" t="n">
        <f aca="false">IFERROR(MAX(0,I143-IF(J143&lt;&gt;"",J143,H143)),"revisar unidad")</f>
        <v>0</v>
      </c>
    </row>
    <row r="144" customFormat="false" ht="15.75" hidden="false" customHeight="true" outlineLevel="0" collapsed="false">
      <c r="A144" s="9" t="s">
        <v>66</v>
      </c>
      <c r="B144" s="9" t="s">
        <v>315</v>
      </c>
      <c r="C144" s="9"/>
      <c r="D144" s="9"/>
      <c r="E144" s="8" t="s">
        <v>50</v>
      </c>
      <c r="F144" s="9" t="s">
        <v>59</v>
      </c>
      <c r="G144" s="20" t="n">
        <v>46267</v>
      </c>
      <c r="H144" s="15" t="n">
        <v>1</v>
      </c>
      <c r="I144" s="15" t="n">
        <v>1</v>
      </c>
      <c r="J144" s="15"/>
      <c r="K144" s="15" t="n">
        <f aca="false">IFERROR(MAX(0,I144-IF(J144&lt;&gt;"",J144,H144)),"revisar unidad")</f>
        <v>0</v>
      </c>
    </row>
    <row r="145" customFormat="false" ht="15.75" hidden="false" customHeight="true" outlineLevel="0" collapsed="false">
      <c r="A145" s="9" t="s">
        <v>66</v>
      </c>
      <c r="B145" s="9" t="s">
        <v>316</v>
      </c>
      <c r="C145" s="9"/>
      <c r="D145" s="9"/>
      <c r="E145" s="8" t="s">
        <v>50</v>
      </c>
      <c r="F145" s="9" t="s">
        <v>59</v>
      </c>
      <c r="G145" s="20" t="n">
        <v>46267</v>
      </c>
      <c r="H145" s="15" t="n">
        <v>30</v>
      </c>
      <c r="I145" s="15" t="n">
        <v>50</v>
      </c>
      <c r="J145" s="15"/>
      <c r="K145" s="15" t="n">
        <f aca="false">IFERROR(MAX(0,I145-IF(J145&lt;&gt;"",J145,H145)),"revisar unidad")</f>
        <v>20</v>
      </c>
    </row>
    <row r="146" customFormat="false" ht="15.75" hidden="false" customHeight="true" outlineLevel="0" collapsed="false">
      <c r="A146" s="9" t="s">
        <v>66</v>
      </c>
      <c r="B146" s="9" t="s">
        <v>317</v>
      </c>
      <c r="C146" s="9"/>
      <c r="D146" s="9"/>
      <c r="E146" s="8" t="s">
        <v>50</v>
      </c>
      <c r="F146" s="9" t="s">
        <v>59</v>
      </c>
      <c r="G146" s="20" t="n">
        <v>46267</v>
      </c>
      <c r="H146" s="15" t="n">
        <v>5</v>
      </c>
      <c r="I146" s="15" t="s">
        <v>318</v>
      </c>
      <c r="J146" s="15"/>
      <c r="K146" s="15"/>
    </row>
    <row r="147" customFormat="false" ht="15.75" hidden="false" customHeight="true" outlineLevel="0" collapsed="false">
      <c r="A147" s="9" t="s">
        <v>66</v>
      </c>
      <c r="B147" s="9" t="s">
        <v>319</v>
      </c>
      <c r="C147" s="9"/>
      <c r="D147" s="9"/>
      <c r="E147" s="8" t="s">
        <v>50</v>
      </c>
      <c r="F147" s="9" t="s">
        <v>59</v>
      </c>
      <c r="G147" s="20" t="n">
        <v>46267</v>
      </c>
      <c r="H147" s="15" t="n">
        <v>1</v>
      </c>
      <c r="I147" s="15" t="n">
        <v>1</v>
      </c>
      <c r="J147" s="15"/>
      <c r="K147" s="15" t="n">
        <f aca="false">IFERROR(MAX(0,I147-IF(J147&lt;&gt;"",J147,H147)),"revisar unidad")</f>
        <v>0</v>
      </c>
    </row>
    <row r="148" customFormat="false" ht="15.75" hidden="false" customHeight="true" outlineLevel="0" collapsed="false">
      <c r="A148" s="9" t="s">
        <v>66</v>
      </c>
      <c r="B148" s="9" t="s">
        <v>320</v>
      </c>
      <c r="C148" s="9"/>
      <c r="D148" s="9"/>
      <c r="E148" s="9" t="s">
        <v>62</v>
      </c>
      <c r="F148" s="9" t="s">
        <v>59</v>
      </c>
      <c r="G148" s="20" t="n">
        <v>46267</v>
      </c>
      <c r="H148" s="15" t="n">
        <v>10</v>
      </c>
      <c r="I148" s="15" t="n">
        <v>7</v>
      </c>
      <c r="J148" s="15"/>
      <c r="K148" s="15" t="n">
        <f aca="false">IFERROR(MAX(0,I148-IF(J148&lt;&gt;"",J148,H148)),"revisar unidad")</f>
        <v>0</v>
      </c>
    </row>
    <row r="149" customFormat="false" ht="15.75" hidden="false" customHeight="true" outlineLevel="0" collapsed="false">
      <c r="A149" s="9" t="s">
        <v>66</v>
      </c>
      <c r="B149" s="9" t="s">
        <v>321</v>
      </c>
      <c r="C149" s="9"/>
      <c r="D149" s="9"/>
      <c r="E149" s="9" t="s">
        <v>62</v>
      </c>
      <c r="F149" s="9" t="s">
        <v>59</v>
      </c>
      <c r="G149" s="20" t="n">
        <v>46267</v>
      </c>
      <c r="H149" s="15" t="n">
        <v>10</v>
      </c>
      <c r="I149" s="15" t="n">
        <v>5</v>
      </c>
      <c r="J149" s="15"/>
      <c r="K149" s="15" t="n">
        <f aca="false">IFERROR(MAX(0,I149-IF(J149&lt;&gt;"",J149,H149)),"revisar unidad")</f>
        <v>0</v>
      </c>
    </row>
    <row r="150" customFormat="false" ht="15.75" hidden="false" customHeight="true" outlineLevel="0" collapsed="false">
      <c r="A150" s="9" t="s">
        <v>66</v>
      </c>
      <c r="B150" s="9" t="s">
        <v>322</v>
      </c>
      <c r="C150" s="9"/>
      <c r="D150" s="9"/>
      <c r="E150" s="9" t="s">
        <v>62</v>
      </c>
      <c r="F150" s="9" t="s">
        <v>59</v>
      </c>
      <c r="G150" s="20" t="n">
        <v>46267</v>
      </c>
      <c r="H150" s="15" t="n">
        <v>6</v>
      </c>
      <c r="I150" s="15" t="s">
        <v>323</v>
      </c>
      <c r="J150" s="15"/>
      <c r="K150" s="15"/>
    </row>
    <row r="151" customFormat="false" ht="15.75" hidden="false" customHeight="true" outlineLevel="0" collapsed="false">
      <c r="A151" s="9" t="s">
        <v>66</v>
      </c>
      <c r="B151" s="9" t="s">
        <v>324</v>
      </c>
      <c r="C151" s="9"/>
      <c r="D151" s="9"/>
      <c r="E151" s="9" t="s">
        <v>43</v>
      </c>
      <c r="F151" s="9" t="s">
        <v>59</v>
      </c>
      <c r="G151" s="20" t="n">
        <v>46267</v>
      </c>
      <c r="H151" s="15" t="n">
        <v>1</v>
      </c>
      <c r="I151" s="15" t="n">
        <v>1</v>
      </c>
      <c r="J151" s="15"/>
      <c r="K151" s="15" t="n">
        <f aca="false">IFERROR(MAX(0,I151-IF(J151&lt;&gt;"",J151,H151)),"revisar unidad")</f>
        <v>0</v>
      </c>
    </row>
    <row r="152" customFormat="false" ht="15.75" hidden="false" customHeight="true" outlineLevel="0" collapsed="false">
      <c r="A152" s="9" t="s">
        <v>66</v>
      </c>
      <c r="B152" s="9" t="s">
        <v>325</v>
      </c>
      <c r="C152" s="9"/>
      <c r="D152" s="9"/>
      <c r="E152" s="9" t="s">
        <v>43</v>
      </c>
      <c r="F152" s="9" t="s">
        <v>59</v>
      </c>
      <c r="G152" s="20" t="n">
        <v>46267</v>
      </c>
      <c r="H152" s="15" t="n">
        <v>1</v>
      </c>
      <c r="I152" s="15" t="n">
        <v>1</v>
      </c>
      <c r="J152" s="15"/>
      <c r="K152" s="15" t="n">
        <f aca="false">IFERROR(MAX(0,I152-IF(J152&lt;&gt;"",J152,H152)),"revisar unidad")</f>
        <v>0</v>
      </c>
    </row>
    <row r="153" customFormat="false" ht="23.25" hidden="false" customHeight="true" outlineLevel="0" collapsed="false">
      <c r="A153" s="9" t="s">
        <v>70</v>
      </c>
      <c r="B153" s="9" t="s">
        <v>326</v>
      </c>
      <c r="C153" s="9"/>
      <c r="D153" s="9"/>
      <c r="E153" s="9" t="s">
        <v>43</v>
      </c>
      <c r="F153" s="9" t="s">
        <v>18</v>
      </c>
      <c r="G153" s="20" t="n">
        <v>46267</v>
      </c>
      <c r="H153" s="15" t="n">
        <v>0</v>
      </c>
      <c r="I153" s="15" t="n">
        <v>1</v>
      </c>
      <c r="J153" s="15"/>
      <c r="K153" s="15" t="n">
        <f aca="false">IFERROR(MAX(0,I153-IF(J153&lt;&gt;"",J153,H153)),"revisar unidad")</f>
        <v>1</v>
      </c>
    </row>
    <row r="154" customFormat="false" ht="23.25" hidden="false" customHeight="true" outlineLevel="0" collapsed="false">
      <c r="A154" s="9" t="s">
        <v>70</v>
      </c>
      <c r="B154" s="9" t="s">
        <v>327</v>
      </c>
      <c r="C154" s="9"/>
      <c r="D154" s="9"/>
      <c r="E154" s="9" t="s">
        <v>24</v>
      </c>
      <c r="F154" s="9" t="s">
        <v>18</v>
      </c>
      <c r="G154" s="20" t="n">
        <v>46267</v>
      </c>
      <c r="H154" s="15" t="n">
        <v>0</v>
      </c>
      <c r="I154" s="15" t="n">
        <v>1</v>
      </c>
      <c r="J154" s="15"/>
      <c r="K154" s="15" t="n">
        <f aca="false">IFERROR(MAX(0,I154-IF(J154&lt;&gt;"",J154,H154)),"revisar unidad")</f>
        <v>1</v>
      </c>
    </row>
    <row r="155" customFormat="false" ht="34.5" hidden="false" customHeight="true" outlineLevel="0" collapsed="false">
      <c r="A155" s="9" t="s">
        <v>70</v>
      </c>
      <c r="B155" s="9" t="s">
        <v>328</v>
      </c>
      <c r="C155" s="9"/>
      <c r="D155" s="9"/>
      <c r="E155" s="9" t="s">
        <v>24</v>
      </c>
      <c r="F155" s="9" t="s">
        <v>18</v>
      </c>
      <c r="G155" s="20" t="n">
        <v>46267</v>
      </c>
      <c r="H155" s="15" t="n">
        <v>0</v>
      </c>
      <c r="I155" s="15" t="n">
        <v>100</v>
      </c>
      <c r="J155" s="15"/>
      <c r="K155" s="15" t="n">
        <f aca="false">IFERROR(MAX(0,I155-IF(J155&lt;&gt;"",J155,H155)),"revisar unidad")</f>
        <v>100</v>
      </c>
    </row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autoFilter ref="A5:G120"/>
  <mergeCells count="2">
    <mergeCell ref="A2:K2"/>
    <mergeCell ref="A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32"/>
    <col collapsed="false" customWidth="true" hidden="false" outlineLevel="0" max="4" min="4" style="1" width="30"/>
    <col collapsed="false" customWidth="true" hidden="false" outlineLevel="0" max="5" min="5" style="1" width="36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26" min="9" style="1" width="8.71"/>
  </cols>
  <sheetData>
    <row r="1" customFormat="false" ht="15.75" hidden="false" customHeight="true" outlineLevel="0" collapsed="false">
      <c r="A1" s="2" t="s">
        <v>329</v>
      </c>
    </row>
    <row r="2" customFormat="false" ht="15" hidden="false" customHeight="true" outlineLevel="0" collapsed="false">
      <c r="A2" s="3" t="s">
        <v>330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331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88</v>
      </c>
      <c r="B5" s="5" t="s">
        <v>89</v>
      </c>
      <c r="C5" s="5"/>
      <c r="D5" s="5"/>
      <c r="E5" s="5"/>
      <c r="F5" s="5"/>
      <c r="G5" s="5" t="s">
        <v>90</v>
      </c>
      <c r="H5" s="5" t="s">
        <v>8</v>
      </c>
    </row>
    <row r="6" customFormat="false" ht="23.25" hidden="false" customHeight="true" outlineLevel="0" collapsed="false">
      <c r="A6" s="7" t="s">
        <v>332</v>
      </c>
      <c r="B6" s="7" t="s">
        <v>333</v>
      </c>
      <c r="C6" s="7"/>
      <c r="D6" s="7"/>
      <c r="E6" s="7"/>
      <c r="F6" s="7"/>
      <c r="G6" s="7"/>
      <c r="H6" s="7" t="s">
        <v>334</v>
      </c>
    </row>
    <row r="7" customFormat="false" ht="45.75" hidden="false" customHeight="true" outlineLevel="0" collapsed="false">
      <c r="A7" s="7" t="s">
        <v>335</v>
      </c>
      <c r="B7" s="7" t="s">
        <v>336</v>
      </c>
      <c r="C7" s="7"/>
      <c r="D7" s="7"/>
      <c r="E7" s="7"/>
      <c r="F7" s="7"/>
      <c r="G7" s="7" t="s">
        <v>337</v>
      </c>
      <c r="H7" s="7"/>
    </row>
    <row r="8" customFormat="false" ht="34.5" hidden="false" customHeight="true" outlineLevel="0" collapsed="false">
      <c r="A8" s="7" t="s">
        <v>338</v>
      </c>
      <c r="B8" s="7" t="s">
        <v>339</v>
      </c>
      <c r="C8" s="7"/>
      <c r="D8" s="7"/>
      <c r="E8" s="7"/>
      <c r="F8" s="7"/>
      <c r="G8" s="7" t="s">
        <v>337</v>
      </c>
      <c r="H8" s="7"/>
    </row>
    <row r="9" customFormat="false" ht="34.5" hidden="false" customHeight="true" outlineLevel="0" collapsed="false">
      <c r="A9" s="7" t="s">
        <v>340</v>
      </c>
      <c r="B9" s="7" t="s">
        <v>341</v>
      </c>
      <c r="C9" s="7"/>
      <c r="D9" s="7"/>
      <c r="E9" s="7"/>
      <c r="F9" s="7"/>
      <c r="G9" s="7" t="s">
        <v>337</v>
      </c>
      <c r="H9" s="7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2026-08-19T18:14:07Z</dcterms:created>
  <dc:creator>openpyxl</dc:creator>
  <dc:description/>
  <dc:language>en-US</dc:language>
  <cp:lastModifiedBy/>
  <dcterms:modified xsi:type="dcterms:W3CDTF">2026-08-19T18:29:37Z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